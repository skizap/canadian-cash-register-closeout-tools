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isse guidée" sheetId="1" state="visible" r:id="rId1"/>
  </sheets>
  <definedNames>
    <definedName name="_xlnm.Print_Area" localSheetId="0">'Caisse guidée'!$B$2:$G$29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[$-0C0C]#,##0.00&quot; $ CA&quot;;[Red]-#,##0.00&quot; $ CA&quot;;0.00&quot; $ CA&quot;"/>
  </numFmts>
  <fonts count="13">
    <font>
      <name val="Calibri"/>
      <family val="2"/>
      <color theme="1"/>
      <sz val="11"/>
      <scheme val="minor"/>
    </font>
    <font>
      <name val="Calibri"/>
      <color rgb="00172B4D"/>
      <sz val="12"/>
    </font>
    <font>
      <name val="Georgia"/>
      <b val="1"/>
      <color rgb="00FFFFFF"/>
      <sz val="21"/>
    </font>
    <font>
      <name val="Calibri"/>
      <color rgb="005E6C7A"/>
      <sz val="12"/>
    </font>
    <font>
      <name val="Calibri"/>
      <b val="1"/>
      <color rgb="00172B4D"/>
      <sz val="12"/>
    </font>
    <font>
      <name val="Calibri"/>
      <b val="1"/>
      <color rgb="001F4E79"/>
      <sz val="14"/>
    </font>
    <font>
      <name val="Calibri"/>
      <color rgb="005E6C7A"/>
      <sz val="10"/>
    </font>
    <font>
      <name val="Calibri"/>
      <b val="1"/>
      <color rgb="00FFFFFF"/>
      <sz val="11"/>
    </font>
    <font>
      <name val="Calibri"/>
      <b val="1"/>
      <color rgb="001F4E79"/>
      <sz val="13"/>
    </font>
    <font>
      <name val="Calibri"/>
      <b val="1"/>
      <color rgb="00172B4D"/>
      <sz val="11"/>
    </font>
    <font>
      <name val="Calibri"/>
      <b val="1"/>
      <color rgb="001F4E79"/>
      <sz val="11"/>
    </font>
    <font>
      <name val="Calibri"/>
      <b val="1"/>
      <color rgb="00172B4D"/>
      <sz val="14"/>
    </font>
    <font>
      <name val="Calibri"/>
      <color rgb="005E6C7A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8CC"/>
      </patternFill>
    </fill>
    <fill>
      <patternFill patternType="solid">
        <fgColor rgb="00E6F0FA"/>
      </patternFill>
    </fill>
    <fill>
      <patternFill patternType="solid">
        <fgColor rgb="00FCE4E4"/>
      </patternFill>
    </fill>
    <fill>
      <patternFill patternType="solid">
        <fgColor rgb="00E8F5E9"/>
      </patternFill>
    </fill>
    <fill>
      <patternFill patternType="solid">
        <fgColor rgb="00FFF0DF"/>
      </patternFill>
    </fill>
  </fills>
  <borders count="4">
    <border>
      <left/>
      <right/>
      <top/>
      <bottom/>
      <diagonal/>
    </border>
    <border>
      <left style="thin">
        <color rgb="00CED9E3"/>
      </left>
      <right/>
      <top style="thin">
        <color rgb="00CED9E3"/>
      </top>
      <bottom style="thin">
        <color rgb="00CED9E3"/>
      </bottom>
    </border>
    <border>
      <left/>
      <right/>
      <top style="thin">
        <color rgb="00CED9E3"/>
      </top>
      <bottom style="thin">
        <color rgb="00CED9E3"/>
      </bottom>
    </border>
    <border>
      <left/>
      <right style="thin">
        <color rgb="00CED9E3"/>
      </right>
      <top style="thin">
        <color rgb="00CED9E3"/>
      </top>
      <bottom style="thin">
        <color rgb="00CED9E3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applyProtection="1" pivotButton="0" quotePrefix="0" xfId="0">
      <alignment horizontal="left" vertical="center" wrapText="1"/>
      <protection locked="0" hidden="0"/>
    </xf>
    <xf numFmtId="0" fontId="2" fillId="2" borderId="0" applyAlignment="1" applyProtection="1" pivotButton="0" quotePrefix="0" xfId="0">
      <alignment horizontal="left" vertical="center" wrapText="1" indent="1"/>
      <protection locked="0" hidden="0"/>
    </xf>
    <xf numFmtId="0" fontId="0" fillId="2" borderId="0" applyProtection="1" pivotButton="0" quotePrefix="0" xfId="0">
      <protection locked="0" hidden="0"/>
    </xf>
    <xf numFmtId="0" fontId="3" fillId="0" borderId="0" applyAlignment="1" applyProtection="1" pivotButton="0" quotePrefix="0" xfId="0">
      <alignment horizontal="left" vertical="center" wrapText="1" indent="1"/>
      <protection locked="0" hidden="0"/>
    </xf>
    <xf numFmtId="0" fontId="0" fillId="0" borderId="0" applyProtection="1" pivotButton="0" quotePrefix="0" xfId="0">
      <protection locked="0" hidden="0"/>
    </xf>
    <xf numFmtId="164" fontId="1" fillId="3" borderId="0" applyAlignment="1" applyProtection="1" pivotButton="0" quotePrefix="0" xfId="0">
      <alignment horizontal="left" vertical="center" wrapText="1"/>
      <protection locked="0" hidden="0"/>
    </xf>
    <xf numFmtId="0" fontId="1" fillId="3" borderId="0" applyAlignment="1" applyProtection="1" pivotButton="0" quotePrefix="0" xfId="0">
      <alignment horizontal="left" vertical="center" wrapText="1" indent="1"/>
      <protection locked="0" hidden="0"/>
    </xf>
    <xf numFmtId="0" fontId="0" fillId="3" borderId="0" applyProtection="1" pivotButton="0" quotePrefix="0" xfId="0">
      <protection locked="0" hidden="0"/>
    </xf>
    <xf numFmtId="0" fontId="4" fillId="4" borderId="0" applyAlignment="1" applyProtection="1" pivotButton="0" quotePrefix="0" xfId="0">
      <alignment horizontal="left" vertical="center" wrapText="1" indent="1"/>
      <protection locked="0" hidden="0"/>
    </xf>
    <xf numFmtId="0" fontId="0" fillId="4" borderId="0" applyProtection="1" pivotButton="0" quotePrefix="0" xfId="0">
      <protection locked="0" hidden="0"/>
    </xf>
    <xf numFmtId="165" fontId="1" fillId="4" borderId="0" applyAlignment="1" applyProtection="1" pivotButton="0" quotePrefix="0" xfId="0">
      <alignment horizontal="right" vertical="center"/>
      <protection locked="0" hidden="0"/>
    </xf>
    <xf numFmtId="0" fontId="5" fillId="5" borderId="0" applyAlignment="1" applyProtection="1" pivotButton="0" quotePrefix="0" xfId="0">
      <alignment horizontal="left" vertical="center" wrapText="1" indent="1"/>
      <protection locked="0" hidden="0"/>
    </xf>
    <xf numFmtId="0" fontId="0" fillId="5" borderId="0" applyProtection="1" pivotButton="0" quotePrefix="0" xfId="0">
      <protection locked="0" hidden="0"/>
    </xf>
    <xf numFmtId="0" fontId="6" fillId="0" borderId="0" applyAlignment="1" applyProtection="1" pivotButton="0" quotePrefix="0" xfId="0">
      <alignment horizontal="left" vertical="center" wrapText="1" indent="1"/>
      <protection locked="0" hidden="0"/>
    </xf>
    <xf numFmtId="0" fontId="7" fillId="2" borderId="0" applyAlignment="1" applyProtection="1" pivotButton="0" quotePrefix="0" xfId="0">
      <alignment horizontal="center" vertical="center" wrapText="1"/>
      <protection locked="0" hidden="0"/>
    </xf>
    <xf numFmtId="165" fontId="1" fillId="0" borderId="1" applyAlignment="1" applyProtection="1" pivotButton="0" quotePrefix="0" xfId="0">
      <alignment horizontal="right" vertical="center" indent="1"/>
      <protection locked="0" hidden="0"/>
    </xf>
    <xf numFmtId="1" fontId="8" fillId="3" borderId="2" applyAlignment="1" applyProtection="1" pivotButton="0" quotePrefix="0" xfId="0">
      <alignment horizontal="right" vertical="center" indent="1"/>
      <protection locked="0" hidden="0"/>
    </xf>
    <xf numFmtId="165" fontId="1" fillId="0" borderId="2" applyAlignment="1" applyProtection="1" pivotButton="0" quotePrefix="0" xfId="0">
      <alignment horizontal="right" vertical="center" indent="1"/>
      <protection locked="0" hidden="0"/>
    </xf>
    <xf numFmtId="1" fontId="1" fillId="4" borderId="2" applyAlignment="1" applyProtection="1" pivotButton="0" quotePrefix="0" xfId="0">
      <alignment horizontal="right" vertical="center" indent="1"/>
      <protection locked="0" hidden="0"/>
    </xf>
    <xf numFmtId="1" fontId="8" fillId="6" borderId="2" applyAlignment="1" applyProtection="1" pivotButton="0" quotePrefix="0" xfId="0">
      <alignment horizontal="right" vertical="center" indent="1"/>
      <protection locked="0" hidden="0"/>
    </xf>
    <xf numFmtId="1" fontId="8" fillId="7" borderId="3" applyAlignment="1" applyProtection="1" pivotButton="0" quotePrefix="0" xfId="0">
      <alignment horizontal="right" vertical="center" indent="1"/>
      <protection locked="0" hidden="0"/>
    </xf>
    <xf numFmtId="0" fontId="9" fillId="4" borderId="0" applyAlignment="1" applyProtection="1" pivotButton="0" quotePrefix="0" xfId="0">
      <alignment horizontal="left" vertical="center" wrapText="1" indent="1"/>
      <protection locked="0" hidden="0"/>
    </xf>
    <xf numFmtId="165" fontId="10" fillId="4" borderId="0" applyAlignment="1" applyProtection="1" pivotButton="0" quotePrefix="0" xfId="0">
      <alignment horizontal="right" vertical="center" indent="1"/>
      <protection locked="0" hidden="0"/>
    </xf>
    <xf numFmtId="165" fontId="10" fillId="6" borderId="0" applyAlignment="1" applyProtection="1" pivotButton="0" quotePrefix="0" xfId="0">
      <alignment horizontal="right" vertical="center" indent="1"/>
      <protection locked="0" hidden="0"/>
    </xf>
    <xf numFmtId="165" fontId="10" fillId="7" borderId="0" applyAlignment="1" applyProtection="1" pivotButton="0" quotePrefix="0" xfId="0">
      <alignment horizontal="right" vertical="center" indent="1"/>
      <protection locked="0" hidden="0"/>
    </xf>
    <xf numFmtId="0" fontId="4" fillId="0" borderId="0" applyAlignment="1" applyProtection="1" pivotButton="0" quotePrefix="0" xfId="0">
      <alignment horizontal="left" vertical="center" wrapText="1" indent="1"/>
      <protection locked="0" hidden="0"/>
    </xf>
    <xf numFmtId="165" fontId="11" fillId="6" borderId="0" applyAlignment="1" applyProtection="1" pivotButton="0" quotePrefix="0" xfId="0">
      <alignment horizontal="right" vertical="center" indent="1"/>
      <protection locked="0" hidden="0"/>
    </xf>
    <xf numFmtId="0" fontId="0" fillId="6" borderId="0" applyProtection="1" pivotButton="0" quotePrefix="0" xfId="0">
      <protection locked="0" hidden="0"/>
    </xf>
    <xf numFmtId="165" fontId="11" fillId="7" borderId="0" applyAlignment="1" applyProtection="1" pivotButton="0" quotePrefix="0" xfId="0">
      <alignment horizontal="right" vertical="center" indent="1"/>
      <protection locked="0" hidden="0"/>
    </xf>
    <xf numFmtId="0" fontId="0" fillId="7" borderId="0" applyProtection="1" pivotButton="0" quotePrefix="0" xfId="0">
      <protection locked="0" hidden="0"/>
    </xf>
    <xf numFmtId="165" fontId="11" fillId="4" borderId="0" applyAlignment="1" applyProtection="1" pivotButton="0" quotePrefix="0" xfId="0">
      <alignment horizontal="right" vertical="center" indent="1"/>
      <protection locked="0" hidden="0"/>
    </xf>
    <xf numFmtId="0" fontId="12" fillId="0" borderId="0" applyAlignment="1" applyProtection="1" pivotButton="0" quotePrefix="0" xfId="0">
      <alignment horizontal="left" vertical="center" wrapText="1" indent="1"/>
      <protection locked="0" hidden="0"/>
    </xf>
  </cellXfs>
  <cellStyles count="1">
    <cellStyle name="Normal" xfId="0" builtinId="0" hidden="0"/>
  </cellStyles>
  <dxfs count="1">
    <dxf>
      <fill>
        <patternFill patternType="solid">
          <fgColor rgb="00E8F5E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zoomScale="95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17" customWidth="1" min="3" max="3"/>
    <col width="20" customWidth="1" min="4" max="4"/>
    <col width="19" customWidth="1" min="5" max="5"/>
    <col width="20" customWidth="1" min="6" max="6"/>
    <col width="20" customWidth="1" min="7" max="7"/>
  </cols>
  <sheetData>
    <row r="1" ht="23" customHeight="1">
      <c r="A1" s="1" t="n"/>
      <c r="B1" s="1" t="n"/>
      <c r="C1" s="1" t="n"/>
      <c r="D1" s="1" t="n"/>
      <c r="E1" s="1" t="n"/>
      <c r="F1" s="1" t="n"/>
      <c r="G1" s="1" t="n"/>
    </row>
    <row r="2" ht="38" customHeight="1">
      <c r="A2" s="1" t="n"/>
      <c r="B2" s="2" t="inlineStr">
        <is>
          <t>Caisse guidée — quoi laisser, quoi déplacer</t>
        </is>
      </c>
      <c r="C2" s="3" t="n"/>
      <c r="D2" s="3" t="n"/>
      <c r="E2" s="3" t="n"/>
      <c r="F2" s="3" t="n"/>
      <c r="G2" s="3" t="n"/>
    </row>
    <row r="3" ht="36" customHeight="1">
      <c r="A3" s="1" t="n"/>
      <c r="B3" s="4" t="inlineStr">
        <is>
          <t>1. Comptez chaque billet et chaque pièce.  2. Inscrivez les quantités jaunes (0 si absent).  3. Suivez les colonnes verte et orange.</t>
        </is>
      </c>
      <c r="C3" s="5" t="n"/>
      <c r="D3" s="5" t="n"/>
      <c r="E3" s="5" t="n"/>
      <c r="F3" s="5" t="n"/>
      <c r="G3" s="5" t="n"/>
    </row>
    <row r="4" ht="23" customHeight="1">
      <c r="A4" s="1" t="n"/>
      <c r="B4" s="1" t="inlineStr">
        <is>
          <t>Date (aaaa-mm-jj)</t>
        </is>
      </c>
      <c r="C4" s="6" t="n"/>
      <c r="D4" s="1" t="inlineStr">
        <is>
          <t>Employé(e)</t>
        </is>
      </c>
      <c r="E4" s="7" t="inlineStr"/>
      <c r="F4" s="8" t="n"/>
      <c r="G4" s="8" t="n"/>
    </row>
    <row r="5" ht="23" customHeight="1">
      <c r="A5" s="1" t="n"/>
      <c r="B5" s="9" t="inlineStr">
        <is>
          <t>Fond de caisse attendu — réglage du gérant</t>
        </is>
      </c>
      <c r="C5" s="10" t="n"/>
      <c r="D5" s="10" t="n"/>
      <c r="E5" s="10" t="n"/>
      <c r="F5" s="10" t="n"/>
      <c r="G5" s="11" t="n">
        <v>250</v>
      </c>
    </row>
    <row r="6" ht="23" customHeight="1">
      <c r="A6" s="1" t="n"/>
      <c r="B6" s="1" t="n"/>
      <c r="C6" s="1" t="n"/>
      <c r="D6" s="1" t="n"/>
      <c r="E6" s="1" t="n"/>
      <c r="F6" s="1" t="n"/>
      <c r="G6" s="1" t="n"/>
    </row>
    <row r="7" ht="30" customHeight="1">
      <c r="A7" s="1" t="n"/>
      <c r="B7" s="12">
        <f>IF(OR(COUNT(E10:E19)&lt;&gt;10,IFERROR(SUMPRODUCT(--(E10:E19&lt;0))+SUMPRODUCT(--(MOD(E10:E19,1)&lt;&gt;0)),1)&gt;0),"CIBLES À CORRIGER",IF(OR(NOT(ISNUMBER(G5)),IFERROR(G5&lt;0,TRUE),IFERROR(ABS(G5*20-ROUND(G5*20,0))&gt;0.000001,TRUE)),"FOND À CORRIGER",IF(ROUND(SUMPRODUCT(B10:B19,E10:E19),2)&lt;&gt;ROUND(G5,2),"CIBLES À AJUSTER",IF(COUNTA(C10:C19)&lt;10,"COMPTE À COMPLÉTER",IF(OR(COUNT(C10:C19)&lt;&gt;10,IFERROR(SUMPRODUCT(--(C10:C19&lt;0))+SUMPRODUCT(--(MOD(C10:C19,1)&lt;&gt;0)),1)&gt;0),"QUANTITÉS À CORRIGER","PRÊT")))))</f>
        <v/>
      </c>
      <c r="C7" s="13" t="n"/>
      <c r="D7" s="13" t="n"/>
      <c r="E7" s="13" t="n"/>
      <c r="F7" s="13" t="n"/>
      <c r="G7" s="13" t="n"/>
    </row>
    <row r="8" ht="24" customHeight="1">
      <c r="A8" s="1" t="n"/>
      <c r="B8" s="14" t="inlineStr">
        <is>
          <t>JAUNE : à remplir  |  BLEU : cibles du gérant  |  VERT : à déposer au coffre  |  ORANGE : à prendre du coffre</t>
        </is>
      </c>
      <c r="C8" s="5" t="n"/>
      <c r="D8" s="5" t="n"/>
      <c r="E8" s="5" t="n"/>
      <c r="F8" s="5" t="n"/>
      <c r="G8" s="5" t="n"/>
    </row>
    <row r="9" ht="38" customHeight="1">
      <c r="A9" s="1" t="n"/>
      <c r="B9" s="15" t="inlineStr">
        <is>
          <t>Billet ou pièce
(valeur CAD)</t>
        </is>
      </c>
      <c r="C9" s="15" t="inlineStr">
        <is>
          <t>Quantité
comptée</t>
        </is>
      </c>
      <c r="D9" s="15" t="inlineStr">
        <is>
          <t>Montant
compté</t>
        </is>
      </c>
      <c r="E9" s="15" t="inlineStr">
        <is>
          <t>Quantité à laisser
(cible gérant)</t>
        </is>
      </c>
      <c r="F9" s="15" t="inlineStr">
        <is>
          <t>Quantité à
déposer au coffre</t>
        </is>
      </c>
      <c r="G9" s="15" t="inlineStr">
        <is>
          <t>Quantité à
prendre du coffre</t>
        </is>
      </c>
    </row>
    <row r="10" ht="26" customHeight="1">
      <c r="A10" s="1" t="n"/>
      <c r="B10" s="16" t="n">
        <v>100</v>
      </c>
      <c r="C10" s="17" t="n"/>
      <c r="D10" s="18">
        <f>IFERROR(IF(ISNUMBER(C10),ROUND(B10*C10,2),""),"")</f>
        <v/>
      </c>
      <c r="E10" s="19" t="n">
        <v>0</v>
      </c>
      <c r="F10" s="20">
        <f>IF($B$7="PRÊT",MAX(C10-E10,0),"")</f>
        <v/>
      </c>
      <c r="G10" s="21">
        <f>IF($B$7="PRÊT",MAX(E10-C10,0),"")</f>
        <v/>
      </c>
    </row>
    <row r="11" ht="26" customHeight="1">
      <c r="A11" s="1" t="n"/>
      <c r="B11" s="16" t="n">
        <v>50</v>
      </c>
      <c r="C11" s="17" t="n"/>
      <c r="D11" s="18">
        <f>IFERROR(IF(ISNUMBER(C11),ROUND(B11*C11,2),""),"")</f>
        <v/>
      </c>
      <c r="E11" s="19" t="n">
        <v>0</v>
      </c>
      <c r="F11" s="20">
        <f>IF($B$7="PRÊT",MAX(C11-E11,0),"")</f>
        <v/>
      </c>
      <c r="G11" s="21">
        <f>IF($B$7="PRÊT",MAX(E11-C11,0),"")</f>
        <v/>
      </c>
    </row>
    <row r="12" ht="26" customHeight="1">
      <c r="A12" s="1" t="n"/>
      <c r="B12" s="16" t="n">
        <v>20</v>
      </c>
      <c r="C12" s="17" t="n"/>
      <c r="D12" s="18">
        <f>IFERROR(IF(ISNUMBER(C12),ROUND(B12*C12,2),""),"")</f>
        <v/>
      </c>
      <c r="E12" s="19" t="n">
        <v>5</v>
      </c>
      <c r="F12" s="20">
        <f>IF($B$7="PRÊT",MAX(C12-E12,0),"")</f>
        <v/>
      </c>
      <c r="G12" s="21">
        <f>IF($B$7="PRÊT",MAX(E12-C12,0),"")</f>
        <v/>
      </c>
    </row>
    <row r="13" ht="26" customHeight="1">
      <c r="A13" s="1" t="n"/>
      <c r="B13" s="16" t="n">
        <v>10</v>
      </c>
      <c r="C13" s="17" t="n"/>
      <c r="D13" s="18">
        <f>IFERROR(IF(ISNUMBER(C13),ROUND(B13*C13,2),""),"")</f>
        <v/>
      </c>
      <c r="E13" s="19" t="n">
        <v>6</v>
      </c>
      <c r="F13" s="20">
        <f>IF($B$7="PRÊT",MAX(C13-E13,0),"")</f>
        <v/>
      </c>
      <c r="G13" s="21">
        <f>IF($B$7="PRÊT",MAX(E13-C13,0),"")</f>
        <v/>
      </c>
    </row>
    <row r="14" ht="26" customHeight="1">
      <c r="A14" s="1" t="n"/>
      <c r="B14" s="16" t="n">
        <v>5</v>
      </c>
      <c r="C14" s="17" t="n"/>
      <c r="D14" s="18">
        <f>IFERROR(IF(ISNUMBER(C14),ROUND(B14*C14,2),""),"")</f>
        <v/>
      </c>
      <c r="E14" s="19" t="n">
        <v>8</v>
      </c>
      <c r="F14" s="20">
        <f>IF($B$7="PRÊT",MAX(C14-E14,0),"")</f>
        <v/>
      </c>
      <c r="G14" s="21">
        <f>IF($B$7="PRÊT",MAX(E14-C14,0),"")</f>
        <v/>
      </c>
    </row>
    <row r="15" ht="26" customHeight="1">
      <c r="A15" s="1" t="n"/>
      <c r="B15" s="16" t="n">
        <v>2</v>
      </c>
      <c r="C15" s="17" t="n"/>
      <c r="D15" s="18">
        <f>IFERROR(IF(ISNUMBER(C15),ROUND(B15*C15,2),""),"")</f>
        <v/>
      </c>
      <c r="E15" s="19" t="n">
        <v>10</v>
      </c>
      <c r="F15" s="20">
        <f>IF($B$7="PRÊT",MAX(C15-E15,0),"")</f>
        <v/>
      </c>
      <c r="G15" s="21">
        <f>IF($B$7="PRÊT",MAX(E15-C15,0),"")</f>
        <v/>
      </c>
    </row>
    <row r="16" ht="26" customHeight="1">
      <c r="A16" s="1" t="n"/>
      <c r="B16" s="16" t="n">
        <v>1</v>
      </c>
      <c r="C16" s="17" t="n"/>
      <c r="D16" s="18">
        <f>IFERROR(IF(ISNUMBER(C16),ROUND(B16*C16,2),""),"")</f>
        <v/>
      </c>
      <c r="E16" s="19" t="n">
        <v>15</v>
      </c>
      <c r="F16" s="20">
        <f>IF($B$7="PRÊT",MAX(C16-E16,0),"")</f>
        <v/>
      </c>
      <c r="G16" s="21">
        <f>IF($B$7="PRÊT",MAX(E16-C16,0),"")</f>
        <v/>
      </c>
    </row>
    <row r="17" ht="26" customHeight="1">
      <c r="A17" s="1" t="n"/>
      <c r="B17" s="16" t="n">
        <v>0.25</v>
      </c>
      <c r="C17" s="17" t="n"/>
      <c r="D17" s="18">
        <f>IFERROR(IF(ISNUMBER(C17),ROUND(B17*C17,2),""),"")</f>
        <v/>
      </c>
      <c r="E17" s="19" t="n">
        <v>40</v>
      </c>
      <c r="F17" s="20">
        <f>IF($B$7="PRÊT",MAX(C17-E17,0),"")</f>
        <v/>
      </c>
      <c r="G17" s="21">
        <f>IF($B$7="PRÊT",MAX(E17-C17,0),"")</f>
        <v/>
      </c>
    </row>
    <row r="18" ht="26" customHeight="1">
      <c r="A18" s="1" t="n"/>
      <c r="B18" s="16" t="n">
        <v>0.1</v>
      </c>
      <c r="C18" s="17" t="n"/>
      <c r="D18" s="18">
        <f>IFERROR(IF(ISNUMBER(C18),ROUND(B18*C18,2),""),"")</f>
        <v/>
      </c>
      <c r="E18" s="19" t="n">
        <v>30</v>
      </c>
      <c r="F18" s="20">
        <f>IF($B$7="PRÊT",MAX(C18-E18,0),"")</f>
        <v/>
      </c>
      <c r="G18" s="21">
        <f>IF($B$7="PRÊT",MAX(E18-C18,0),"")</f>
        <v/>
      </c>
    </row>
    <row r="19" ht="26" customHeight="1">
      <c r="A19" s="1" t="n"/>
      <c r="B19" s="16" t="n">
        <v>0.05</v>
      </c>
      <c r="C19" s="17" t="n"/>
      <c r="D19" s="18">
        <f>IFERROR(IF(ISNUMBER(C19),ROUND(B19*C19,2),""),"")</f>
        <v/>
      </c>
      <c r="E19" s="19" t="n">
        <v>40</v>
      </c>
      <c r="F19" s="20">
        <f>IF($B$7="PRÊT",MAX(C19-E19,0),"")</f>
        <v/>
      </c>
      <c r="G19" s="21">
        <f>IF($B$7="PRÊT",MAX(E19-C19,0),"")</f>
        <v/>
      </c>
    </row>
    <row r="20" ht="28" customHeight="1">
      <c r="A20" s="1" t="n"/>
      <c r="B20" s="22" t="inlineStr">
        <is>
          <t>TOTAUX EN $ CA</t>
        </is>
      </c>
      <c r="C20" s="10" t="n"/>
      <c r="D20" s="23">
        <f>IF(B7="PRÊT",ROUND(SUM(D10:D19),2),"")</f>
        <v/>
      </c>
      <c r="E20" s="23">
        <f>ROUND(SUMPRODUCT(B10:B19,E10:E19),2)</f>
        <v/>
      </c>
      <c r="F20" s="24">
        <f>IF(B7="PRÊT",ROUND(SUMPRODUCT(B10:B19,F10:F19),2),"")</f>
        <v/>
      </c>
      <c r="G20" s="25">
        <f>IF(B7="PRÊT",ROUND(SUMPRODUCT(B10:B19,G10:G19),2),"")</f>
        <v/>
      </c>
    </row>
    <row r="21" ht="23" customHeight="1">
      <c r="A21" s="1" t="n"/>
      <c r="B21" s="1" t="n"/>
      <c r="C21" s="1" t="n"/>
      <c r="D21" s="1" t="n"/>
      <c r="E21" s="1" t="n"/>
      <c r="F21" s="1" t="n"/>
      <c r="G21" s="1" t="n"/>
    </row>
    <row r="22" ht="27" customHeight="1">
      <c r="A22" s="1" t="n"/>
      <c r="B22" s="26" t="inlineStr">
        <is>
          <t>Argent à déposer au coffre</t>
        </is>
      </c>
      <c r="C22" s="5" t="n"/>
      <c r="D22" s="5" t="n"/>
      <c r="E22" s="27">
        <f>IF(B7="PRÊT",F20,"")</f>
        <v/>
      </c>
      <c r="F22" s="28" t="n"/>
      <c r="G22" s="28" t="n"/>
    </row>
    <row r="23" ht="27" customHeight="1">
      <c r="A23" s="1" t="n"/>
      <c r="B23" s="26" t="inlineStr">
        <is>
          <t>Argent à prendre du coffre</t>
        </is>
      </c>
      <c r="C23" s="5" t="n"/>
      <c r="D23" s="5" t="n"/>
      <c r="E23" s="29">
        <f>IF(B7="PRÊT",G20,"")</f>
        <v/>
      </c>
      <c r="F23" s="30" t="n"/>
      <c r="G23" s="30" t="n"/>
    </row>
    <row r="24" ht="27" customHeight="1">
      <c r="A24" s="1" t="n"/>
      <c r="B24" s="26" t="inlineStr">
        <is>
          <t>Net vers le coffre (+) / depuis le coffre (−)</t>
        </is>
      </c>
      <c r="C24" s="5" t="n"/>
      <c r="D24" s="5" t="n"/>
      <c r="E24" s="31">
        <f>IF(B7="PRÊT",ROUND(F20-G20,2),"")</f>
        <v/>
      </c>
      <c r="F24" s="10" t="n"/>
      <c r="G24" s="10" t="n"/>
    </row>
    <row r="25" ht="27" customHeight="1">
      <c r="A25" s="1" t="n"/>
      <c r="B25" s="26" t="inlineStr">
        <is>
          <t>Total prévu après les mouvements</t>
        </is>
      </c>
      <c r="C25" s="5" t="n"/>
      <c r="D25" s="5" t="n"/>
      <c r="E25" s="31">
        <f>IF(B7="PRÊT",ROUND(D20-F20+G20,2),"")</f>
        <v/>
      </c>
      <c r="F25" s="10" t="n"/>
      <c r="G25" s="10" t="n"/>
    </row>
    <row r="26" ht="23" customHeight="1">
      <c r="A26" s="1" t="n"/>
      <c r="B26" s="1" t="n"/>
      <c r="C26" s="1" t="n"/>
      <c r="D26" s="1" t="n"/>
      <c r="E26" s="1" t="n"/>
      <c r="F26" s="1" t="n"/>
      <c r="G26" s="1" t="n"/>
    </row>
    <row r="27" ht="30" customHeight="1">
      <c r="A27" s="1" t="n"/>
      <c r="B27" s="32" t="inlineStr">
        <is>
          <t>Recomptez le tiroir après les mouvements. Le total prévu ne confirme pas que l’argent a réellement été déplacé.</t>
        </is>
      </c>
      <c r="C27" s="5" t="n"/>
      <c r="D27" s="5" t="n"/>
      <c r="E27" s="5" t="n"/>
      <c r="F27" s="5" t="n"/>
      <c r="G27" s="5" t="n"/>
    </row>
    <row r="28" ht="30" customHeight="1">
      <c r="A28" s="1" t="n"/>
      <c r="B28" s="14" t="inlineStr">
        <is>
          <t>Si « CIBLES À AJUSTER » apparaît : le gérant doit faire correspondre les quantités bleues au fond attendu. Ne déplacez rien avant le message « PRÊT ».</t>
        </is>
      </c>
      <c r="C28" s="5" t="n"/>
      <c r="D28" s="5" t="n"/>
      <c r="E28" s="5" t="n"/>
      <c r="F28" s="5" t="n"/>
      <c r="G28" s="5" t="n"/>
    </row>
    <row r="29" ht="30" customHeight="1">
      <c r="A29" s="1" t="n"/>
      <c r="B29" s="14" t="inlineStr">
        <is>
          <t>Un échange peut nécessiter un dépôt ET un retrait. Si le coffre ne contient pas les bonnes coupures, demandez au gérant. Aucun rapprochement avec les ventes n’est effectué ici.</t>
        </is>
      </c>
      <c r="C29" s="5" t="n"/>
      <c r="D29" s="5" t="n"/>
      <c r="E29" s="5" t="n"/>
      <c r="F29" s="5" t="n"/>
      <c r="G29" s="5" t="n"/>
    </row>
    <row r="30" ht="23" customHeight="1">
      <c r="A30" s="1" t="n"/>
      <c r="B30" s="1" t="n"/>
      <c r="C30" s="1" t="n"/>
      <c r="D30" s="1" t="n"/>
      <c r="E30" s="1" t="n"/>
      <c r="F30" s="1" t="n"/>
      <c r="G30" s="1" t="n"/>
    </row>
  </sheetData>
  <mergeCells count="18">
    <mergeCell ref="B3:G3"/>
    <mergeCell ref="B2:G2"/>
    <mergeCell ref="E24:G24"/>
    <mergeCell ref="B28:G28"/>
    <mergeCell ref="E22:G22"/>
    <mergeCell ref="B23:D23"/>
    <mergeCell ref="B22:D22"/>
    <mergeCell ref="B20:C20"/>
    <mergeCell ref="E23:G23"/>
    <mergeCell ref="B27:G27"/>
    <mergeCell ref="B5:F5"/>
    <mergeCell ref="B8:G8"/>
    <mergeCell ref="E4:G4"/>
    <mergeCell ref="E25:G25"/>
    <mergeCell ref="B29:G29"/>
    <mergeCell ref="B25:D25"/>
    <mergeCell ref="B24:D24"/>
    <mergeCell ref="B7:G7"/>
  </mergeCells>
  <conditionalFormatting sqref="B7:G7">
    <cfRule type="expression" priority="1" dxfId="0">
      <formula>$B$7="PRÊT"</formula>
    </cfRule>
  </conditionalFormatting>
  <dataValidations count="2">
    <dataValidation sqref="C10:C19 E10:E19" showDropDown="0" showInputMessage="0" showErrorMessage="1" allowBlank="1" errorTitle="Quantité invalide" error="Entrez un nombre entier positif ou 0." type="whole" operator="between">
      <formula1>0</formula1>
      <formula2>9999</formula2>
    </dataValidation>
    <dataValidation sqref="G5" showDropDown="0" showInputMessage="0" showErrorMessage="1" allowBlank="0" errorTitle="Fond invalide" error="Entrez un montant positif ou nul, par multiple de 0,05 $." type="custom">
      <formula1>AND(ISNUMBER(G5),G5&gt;=0,ABS(G5*20-ROUND(G5*20,0))&lt;0.000001)</formula1>
    </dataValidation>
  </dataValidations>
  <pageMargins left="0.25" right="0.25" top="0.3" bottom="0.3" header="0.5" footer="0.5"/>
  <pageSetup orientation="landscape" paperSize="1" fitToHeight="1" fitToWidth="1"/>
  <headerFooter>
    <oddHeader/>
    <oddFooter>&amp;CCaisse guidée • CAD • Sans protection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Caisse guidée — Français canadien</dc:title>
  <dc:description xmlns:dc="http://purl.org/dc/elements/1.1/">Une feuille modifiable avec quantités exactes à laisser, à déposer et à prendre. Sans pièce de 1 cent.</dc:description>
  <dcterms:created xmlns:dcterms="http://purl.org/dc/terms/" xmlns:xsi="http://www.w3.org/2001/XMLSchema-instance" xsi:type="dcterms:W3CDTF">2026-10-27T12:39:50Z</dcterms:created>
  <dcterms:modified xmlns:dcterms="http://purl.org/dc/terms/" xmlns:xsi="http://www.w3.org/2001/XMLSchema-instance" xsi:type="dcterms:W3CDTF">2026-10-27T12:39:50Z</dcterms:modified>
</cp:coreProperties>
</file>