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meture de caisse" sheetId="1" state="visible" r:id="rId1"/>
    <sheet xmlns:r="http://schemas.openxmlformats.org/officeDocument/2006/relationships" name="Paramètres gérant" sheetId="2" state="visible" r:id="rId2"/>
    <sheet xmlns:r="http://schemas.openxmlformats.org/officeDocument/2006/relationships" name="Journal de caisse" sheetId="3" state="visible" r:id="rId3"/>
  </sheets>
  <definedNames>
    <definedName name="_xlnm.Print_Area" localSheetId="0">'Fermeture de caisse'!$B$2:$L$30</definedName>
    <definedName name="_xlnm.Print_Area" localSheetId="1">'Paramètres gérant'!$B$2:$F$26</definedName>
    <definedName name="_xlnm._FilterDatabase" localSheetId="2" hidden="1">'Journal de caisse'!$B$7:$I$37</definedName>
    <definedName name="_xlnm.Print_Area" localSheetId="2">'Journal de caisse'!$B$2:$I$37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m/d/yyyy"/>
    <numFmt numFmtId="165" formatCode="$#,##0.00;[Red]($#,##0.00);-"/>
    <numFmt numFmtId="166" formatCode="#,##0;[Red](#,##0);0"/>
    <numFmt numFmtId="167" formatCode="&quot;C$&quot;#,##0.00;[Red](&quot;C$&quot;#,##0.00);-"/>
    <numFmt numFmtId="168" formatCode="#,##0.00 &quot; $ CA&quot;;[Red](#,##0.00 &quot; $ CA&quot;);-"/>
  </numFmts>
  <fonts count="10">
    <font>
      <name val="Calibri"/>
      <family val="2"/>
      <color theme="1"/>
      <sz val="11"/>
      <scheme val="minor"/>
    </font>
    <font>
      <name val="Georgia"/>
      <b val="1"/>
      <color rgb="001F4E79"/>
      <sz val="21"/>
    </font>
    <font>
      <name val="Calibri"/>
      <i val="1"/>
      <color rgb="00666666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i val="1"/>
      <color rgb="00666666"/>
      <sz val="10"/>
    </font>
    <font>
      <name val="Georgia"/>
      <b val="1"/>
      <color rgb="001F4E79"/>
      <sz val="13"/>
    </font>
    <font>
      <name val="Georgia"/>
      <b val="1"/>
      <color rgb="00FFFFFF"/>
      <sz val="10"/>
    </font>
    <font>
      <name val="Calibri"/>
      <color rgb="00000000"/>
      <sz val="10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00D6E3F0"/>
      </patternFill>
    </fill>
    <fill>
      <patternFill patternType="solid">
        <fgColor rgb="00FFFDE7"/>
      </patternFill>
    </fill>
    <fill>
      <patternFill patternType="solid">
        <fgColor rgb="00FFF3E0"/>
      </patternFill>
    </fill>
    <fill>
      <patternFill patternType="solid">
        <fgColor rgb="001F4E79"/>
      </patternFill>
    </fill>
    <fill>
      <patternFill patternType="solid">
        <fgColor rgb="00F4F8F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</fills>
  <borders count="15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  <border>
      <left/>
      <right/>
      <top style="thin">
        <color rgb="00C9D2D9"/>
      </top>
      <bottom style="thin">
        <color rgb="00C9D2D9"/>
      </bottom>
    </border>
    <border>
      <left style="thin">
        <color rgb="00C9D2D9"/>
      </left>
      <right/>
      <top style="thin">
        <color rgb="00C9D2D9"/>
      </top>
      <bottom style="thin">
        <color rgb="00C9D2D9"/>
      </bottom>
    </border>
    <border>
      <left/>
      <right style="thin">
        <color rgb="00C9D2D9"/>
      </right>
      <top style="thin">
        <color rgb="00C9D2D9"/>
      </top>
      <bottom style="thin">
        <color rgb="00C9D2D9"/>
      </bottom>
    </border>
    <border>
      <left style="thin">
        <color rgb="00C9D2D9"/>
      </left>
      <right/>
      <top style="thin">
        <color rgb="00C9D2D9"/>
      </top>
      <bottom style="medium">
        <color rgb="001F4E79"/>
      </bottom>
    </border>
    <border>
      <left/>
      <right/>
      <top style="thin">
        <color rgb="00C9D2D9"/>
      </top>
      <bottom style="medium">
        <color rgb="001F4E79"/>
      </bottom>
    </border>
    <border>
      <left/>
      <right style="thin">
        <color rgb="00C9D2D9"/>
      </right>
      <top style="thin">
        <color rgb="00C9D2D9"/>
      </top>
      <bottom style="medium">
        <color rgb="001F4E79"/>
      </bottom>
    </border>
    <border>
      <left style="thin">
        <color rgb="00C9D2D9"/>
      </left>
      <right/>
      <top style="medium">
        <color rgb="001F4E79"/>
      </top>
      <bottom style="thin">
        <color rgb="00C9D2D9"/>
      </bottom>
    </border>
    <border>
      <left/>
      <right/>
      <top style="medium">
        <color rgb="001F4E79"/>
      </top>
      <bottom style="thin">
        <color rgb="00C9D2D9"/>
      </bottom>
    </border>
    <border>
      <left/>
      <right style="thin">
        <color rgb="00C9D2D9"/>
      </right>
      <top style="medium">
        <color rgb="001F4E79"/>
      </top>
      <bottom style="thin">
        <color rgb="00C9D2D9"/>
      </bottom>
    </border>
    <border>
      <left/>
      <right/>
      <top style="thin">
        <color rgb="00C9D2D9"/>
      </top>
      <bottom/>
      <diagonal/>
    </border>
    <border>
      <left/>
      <right style="thin">
        <color rgb="00C9D2D9"/>
      </right>
      <top style="thin">
        <color rgb="00C9D2D9"/>
      </top>
      <bottom/>
      <diagonal/>
    </border>
    <border>
      <left/>
      <right/>
      <top style="thin">
        <color rgb="00C9D2D9"/>
      </top>
      <bottom style="thin">
        <color rgb="00C9D2D9"/>
      </bottom>
      <diagonal/>
    </border>
    <border>
      <left/>
      <right style="thin">
        <color rgb="00C9D2D9"/>
      </right>
      <top style="thin">
        <color rgb="00C9D2D9"/>
      </top>
      <bottom style="thin">
        <color rgb="00C9D2D9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indent="1"/>
    </xf>
    <xf numFmtId="164" fontId="4" fillId="3" borderId="1" applyAlignment="1" applyProtection="1" pivotButton="0" quotePrefix="0" xfId="0">
      <alignment horizontal="center" vertical="center"/>
      <protection locked="0" hidden="0"/>
    </xf>
    <xf numFmtId="0" fontId="0" fillId="0" borderId="2" pivotButton="0" quotePrefix="0" xfId="0"/>
    <xf numFmtId="0" fontId="4" fillId="3" borderId="3" applyAlignment="1" applyProtection="1" pivotButton="0" quotePrefix="0" xfId="0">
      <alignment horizontal="left" vertical="center" indent="1"/>
      <protection locked="0" hidden="0"/>
    </xf>
    <xf numFmtId="0" fontId="0" fillId="0" borderId="4" pivotButton="0" quotePrefix="0" xfId="0"/>
    <xf numFmtId="0" fontId="3" fillId="4" borderId="3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2" borderId="0" applyAlignment="1" pivotButton="0" quotePrefix="0" xfId="0">
      <alignment horizontal="left" vertical="center" indent="1"/>
    </xf>
    <xf numFmtId="0" fontId="7" fillId="5" borderId="5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center" vertical="center" wrapText="1"/>
    </xf>
    <xf numFmtId="0" fontId="7" fillId="5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indent="1"/>
    </xf>
    <xf numFmtId="165" fontId="4" fillId="0" borderId="2" applyAlignment="1" pivotButton="0" quotePrefix="0" xfId="0">
      <alignment horizontal="center" vertical="center"/>
    </xf>
    <xf numFmtId="166" fontId="4" fillId="3" borderId="2" applyAlignment="1" applyProtection="1" pivotButton="0" quotePrefix="0" xfId="0">
      <alignment horizontal="center" vertical="center"/>
      <protection locked="0" hidden="0"/>
    </xf>
    <xf numFmtId="165" fontId="4" fillId="0" borderId="2" applyAlignment="1" pivotButton="0" quotePrefix="0" xfId="0">
      <alignment horizontal="right" vertical="center"/>
    </xf>
    <xf numFmtId="166" fontId="4" fillId="6" borderId="2" applyAlignment="1" pivotButton="0" quotePrefix="0" xfId="0">
      <alignment horizontal="center" vertical="center"/>
    </xf>
    <xf numFmtId="166" fontId="4" fillId="7" borderId="2" applyAlignment="1" pivotButton="0" quotePrefix="0" xfId="0">
      <alignment horizontal="center" vertical="center"/>
    </xf>
    <xf numFmtId="165" fontId="4" fillId="7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center" vertical="center"/>
    </xf>
    <xf numFmtId="165" fontId="4" fillId="8" borderId="2" applyAlignment="1" pivotButton="0" quotePrefix="0" xfId="0">
      <alignment horizontal="right" vertical="center"/>
    </xf>
    <xf numFmtId="165" fontId="4" fillId="6" borderId="4" applyAlignment="1" pivotButton="0" quotePrefix="0" xfId="0">
      <alignment horizontal="right" vertical="center"/>
    </xf>
    <xf numFmtId="0" fontId="3" fillId="2" borderId="8" applyAlignment="1" pivotButton="0" quotePrefix="0" xfId="0">
      <alignment horizontal="left" vertical="center" indent="1"/>
    </xf>
    <xf numFmtId="166" fontId="3" fillId="2" borderId="9" applyAlignment="1" pivotButton="0" quotePrefix="0" xfId="0">
      <alignment horizontal="right" vertical="center"/>
    </xf>
    <xf numFmtId="165" fontId="3" fillId="2" borderId="9" applyAlignment="1" pivotButton="0" quotePrefix="0" xfId="0">
      <alignment horizontal="right" vertical="center"/>
    </xf>
    <xf numFmtId="165" fontId="3" fillId="2" borderId="10" applyAlignment="1" pivotButton="0" quotePrefix="0" xfId="0">
      <alignment horizontal="right" vertical="center"/>
    </xf>
    <xf numFmtId="0" fontId="3" fillId="6" borderId="3" applyAlignment="1" pivotButton="0" quotePrefix="0" xfId="0">
      <alignment horizontal="left" vertical="center" indent="1"/>
    </xf>
    <xf numFmtId="165" fontId="3" fillId="9" borderId="2" applyAlignment="1" pivotButton="0" quotePrefix="0" xfId="0">
      <alignment horizontal="right" vertical="center"/>
    </xf>
    <xf numFmtId="0" fontId="8" fillId="6" borderId="3" applyAlignment="1" pivotButton="0" quotePrefix="0" xfId="0">
      <alignment horizontal="left" vertical="center" wrapText="1" indent="1"/>
    </xf>
    <xf numFmtId="165" fontId="3" fillId="1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1"/>
    </xf>
    <xf numFmtId="0" fontId="3" fillId="2" borderId="3" applyAlignment="1" pivotButton="0" quotePrefix="0" xfId="0">
      <alignment horizontal="left" vertical="center" indent="1"/>
    </xf>
    <xf numFmtId="165" fontId="9" fillId="11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 indent="1"/>
    </xf>
    <xf numFmtId="166" fontId="4" fillId="11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indent="1"/>
    </xf>
    <xf numFmtId="0" fontId="9" fillId="2" borderId="8" applyAlignment="1" pivotButton="0" quotePrefix="0" xfId="0">
      <alignment horizontal="left" vertical="center" indent="1"/>
    </xf>
    <xf numFmtId="0" fontId="9" fillId="2" borderId="9" applyAlignment="1" pivotButton="0" quotePrefix="0" xfId="0">
      <alignment horizontal="right" vertical="center"/>
    </xf>
    <xf numFmtId="165" fontId="9" fillId="2" borderId="9" applyAlignment="1" pivotButton="0" quotePrefix="0" xfId="0">
      <alignment horizontal="right" vertical="center"/>
    </xf>
    <xf numFmtId="0" fontId="9" fillId="2" borderId="10" applyAlignment="1" pivotButton="0" quotePrefix="0" xfId="0">
      <alignment horizontal="right" vertical="center"/>
    </xf>
    <xf numFmtId="165" fontId="9" fillId="0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 wrapText="1"/>
    </xf>
    <xf numFmtId="164" fontId="4" fillId="3" borderId="3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indent="1"/>
    </xf>
    <xf numFmtId="165" fontId="4" fillId="3" borderId="2" applyAlignment="1" pivotButton="0" quotePrefix="0" xfId="0">
      <alignment horizontal="right" vertical="center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2" fillId="0" borderId="0" applyAlignment="1" applyProtection="1" pivotButton="0" quotePrefix="0" xfId="0">
      <alignment horizontal="left" vertical="center" wrapText="1"/>
      <protection locked="0" hidden="0"/>
    </xf>
    <xf numFmtId="0" fontId="3" fillId="2" borderId="1" applyAlignment="1" applyProtection="1" pivotButton="0" quotePrefix="0" xfId="0">
      <alignment horizontal="left" vertical="center" indent="1"/>
      <protection locked="0" hidden="0"/>
    </xf>
    <xf numFmtId="164" fontId="4" fillId="3" borderId="1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4" fillId="3" borderId="1" applyAlignment="1" applyProtection="1" pivotButton="0" quotePrefix="0" xfId="0">
      <alignment horizontal="left" vertical="center" inden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3" fillId="4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left" vertical="center" wrapText="1" indent="1"/>
      <protection locked="0" hidden="0"/>
    </xf>
    <xf numFmtId="0" fontId="6" fillId="2" borderId="0" applyAlignment="1" applyProtection="1" pivotButton="0" quotePrefix="0" xfId="0">
      <alignment horizontal="left" vertical="center" indent="1"/>
      <protection locked="0" hidden="0"/>
    </xf>
    <xf numFmtId="0" fontId="7" fillId="5" borderId="5" applyAlignment="1" applyProtection="1" pivotButton="0" quotePrefix="0" xfId="0">
      <alignment horizontal="center" vertical="center" wrapText="1"/>
      <protection locked="0" hidden="0"/>
    </xf>
    <xf numFmtId="0" fontId="7" fillId="5" borderId="6" applyAlignment="1" applyProtection="1" pivotButton="0" quotePrefix="0" xfId="0">
      <alignment horizontal="center" vertical="center" wrapText="1"/>
      <protection locked="0" hidden="0"/>
    </xf>
    <xf numFmtId="0" fontId="7" fillId="5" borderId="7" applyAlignment="1" applyProtection="1" pivotButton="0" quotePrefix="0" xfId="0">
      <alignment horizontal="center" vertical="center" wrapText="1"/>
      <protection locked="0" hidden="0"/>
    </xf>
    <xf numFmtId="0" fontId="4" fillId="0" borderId="3" applyAlignment="1" applyProtection="1" pivotButton="0" quotePrefix="0" xfId="0">
      <alignment horizontal="left" vertical="center" indent="1"/>
      <protection locked="0" hidden="0"/>
    </xf>
    <xf numFmtId="165" fontId="4" fillId="0" borderId="2" applyAlignment="1" applyProtection="1" pivotButton="0" quotePrefix="0" xfId="0">
      <alignment horizontal="center" vertical="center"/>
      <protection locked="0" hidden="0"/>
    </xf>
    <xf numFmtId="166" fontId="4" fillId="3" borderId="2" applyAlignment="1" applyProtection="1" pivotButton="0" quotePrefix="0" xfId="0">
      <alignment horizontal="center" vertical="center"/>
      <protection locked="0" hidden="0"/>
    </xf>
    <xf numFmtId="165" fontId="4" fillId="0" borderId="2" applyAlignment="1" applyProtection="1" pivotButton="0" quotePrefix="0" xfId="0">
      <alignment horizontal="right" vertical="center"/>
      <protection locked="0" hidden="0"/>
    </xf>
    <xf numFmtId="166" fontId="4" fillId="6" borderId="2" applyAlignment="1" applyProtection="1" pivotButton="0" quotePrefix="0" xfId="0">
      <alignment horizontal="center" vertical="center"/>
      <protection locked="0" hidden="0"/>
    </xf>
    <xf numFmtId="166" fontId="4" fillId="7" borderId="2" applyAlignment="1" applyProtection="1" pivotButton="0" quotePrefix="0" xfId="0">
      <alignment horizontal="center" vertical="center"/>
      <protection locked="0" hidden="0"/>
    </xf>
    <xf numFmtId="165" fontId="4" fillId="7" borderId="2" applyAlignment="1" applyProtection="1" pivotButton="0" quotePrefix="0" xfId="0">
      <alignment horizontal="right" vertical="center"/>
      <protection locked="0" hidden="0"/>
    </xf>
    <xf numFmtId="166" fontId="4" fillId="8" borderId="2" applyAlignment="1" applyProtection="1" pivotButton="0" quotePrefix="0" xfId="0">
      <alignment horizontal="center" vertical="center"/>
      <protection locked="0" hidden="0"/>
    </xf>
    <xf numFmtId="165" fontId="4" fillId="8" borderId="2" applyAlignment="1" applyProtection="1" pivotButton="0" quotePrefix="0" xfId="0">
      <alignment horizontal="right" vertical="center"/>
      <protection locked="0" hidden="0"/>
    </xf>
    <xf numFmtId="165" fontId="4" fillId="6" borderId="4" applyAlignment="1" applyProtection="1" pivotButton="0" quotePrefix="0" xfId="0">
      <alignment horizontal="right" vertical="center"/>
      <protection locked="0" hidden="0"/>
    </xf>
    <xf numFmtId="0" fontId="3" fillId="2" borderId="8" applyAlignment="1" applyProtection="1" pivotButton="0" quotePrefix="0" xfId="0">
      <alignment horizontal="left" vertical="center" indent="1"/>
      <protection locked="0" hidden="0"/>
    </xf>
    <xf numFmtId="166" fontId="3" fillId="2" borderId="9" applyAlignment="1" applyProtection="1" pivotButton="0" quotePrefix="0" xfId="0">
      <alignment horizontal="right" vertical="center"/>
      <protection locked="0" hidden="0"/>
    </xf>
    <xf numFmtId="165" fontId="3" fillId="2" borderId="9" applyAlignment="1" applyProtection="1" pivotButton="0" quotePrefix="0" xfId="0">
      <alignment horizontal="right" vertical="center"/>
      <protection locked="0" hidden="0"/>
    </xf>
    <xf numFmtId="165" fontId="3" fillId="2" borderId="10" applyAlignment="1" applyProtection="1" pivotButton="0" quotePrefix="0" xfId="0">
      <alignment horizontal="right" vertical="center"/>
      <protection locked="0" hidden="0"/>
    </xf>
    <xf numFmtId="0" fontId="3" fillId="6" borderId="3" applyAlignment="1" applyProtection="1" pivotButton="0" quotePrefix="0" xfId="0">
      <alignment horizontal="left" vertical="center" indent="1"/>
      <protection locked="0" hidden="0"/>
    </xf>
    <xf numFmtId="165" fontId="3" fillId="9" borderId="2" applyAlignment="1" applyProtection="1" pivotButton="0" quotePrefix="0" xfId="0">
      <alignment horizontal="right" vertical="center"/>
      <protection locked="0" hidden="0"/>
    </xf>
    <xf numFmtId="0" fontId="0" fillId="0" borderId="4" applyProtection="1" pivotButton="0" quotePrefix="0" xfId="0">
      <protection locked="0" hidden="0"/>
    </xf>
    <xf numFmtId="0" fontId="8" fillId="6" borderId="1" applyAlignment="1" applyProtection="1" pivotButton="0" quotePrefix="0" xfId="0">
      <alignment horizontal="left" vertical="center" wrapText="1" indent="1"/>
      <protection locked="0" hidden="0"/>
    </xf>
    <xf numFmtId="165" fontId="3" fillId="10" borderId="2" applyAlignment="1" applyProtection="1" pivotButton="0" quotePrefix="0" xfId="0">
      <alignment horizontal="right" vertical="center"/>
      <protection locked="0" hidden="0"/>
    </xf>
    <xf numFmtId="0" fontId="5" fillId="0" borderId="0" applyAlignment="1" applyProtection="1" pivotButton="0" quotePrefix="0" xfId="0">
      <alignment horizontal="left" vertical="center" indent="1"/>
      <protection locked="0" hidden="0"/>
    </xf>
    <xf numFmtId="0" fontId="3" fillId="2" borderId="3" applyAlignment="1" applyProtection="1" pivotButton="0" quotePrefix="0" xfId="0">
      <alignment horizontal="left" vertical="center" indent="1"/>
      <protection locked="0" hidden="0"/>
    </xf>
    <xf numFmtId="165" fontId="9" fillId="11" borderId="2" applyAlignment="1" applyProtection="1" pivotButton="0" quotePrefix="0" xfId="0">
      <alignment horizontal="right" vertical="center"/>
      <protection locked="0" hidden="0"/>
    </xf>
    <xf numFmtId="0" fontId="5" fillId="0" borderId="4" applyAlignment="1" applyProtection="1" pivotButton="0" quotePrefix="0" xfId="0">
      <alignment horizontal="left" vertical="center" indent="1"/>
      <protection locked="0" hidden="0"/>
    </xf>
    <xf numFmtId="166" fontId="4" fillId="11" borderId="2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left" vertical="center" indent="1"/>
      <protection locked="0" hidden="0"/>
    </xf>
    <xf numFmtId="0" fontId="9" fillId="2" borderId="8" applyAlignment="1" applyProtection="1" pivotButton="0" quotePrefix="0" xfId="0">
      <alignment horizontal="left" vertical="center" indent="1"/>
      <protection locked="0" hidden="0"/>
    </xf>
    <xf numFmtId="0" fontId="9" fillId="2" borderId="9" applyAlignment="1" applyProtection="1" pivotButton="0" quotePrefix="0" xfId="0">
      <alignment horizontal="right" vertical="center"/>
      <protection locked="0" hidden="0"/>
    </xf>
    <xf numFmtId="165" fontId="9" fillId="2" borderId="9" applyAlignment="1" applyProtection="1" pivotButton="0" quotePrefix="0" xfId="0">
      <alignment horizontal="right" vertical="center"/>
      <protection locked="0" hidden="0"/>
    </xf>
    <xf numFmtId="0" fontId="9" fillId="2" borderId="10" applyAlignment="1" applyProtection="1" pivotButton="0" quotePrefix="0" xfId="0">
      <alignment horizontal="right" vertical="center"/>
      <protection locked="0" hidden="0"/>
    </xf>
    <xf numFmtId="165" fontId="9" fillId="0" borderId="2" applyAlignment="1" applyProtection="1" pivotButton="0" quotePrefix="0" xfId="0">
      <alignment horizontal="right" vertical="center"/>
      <protection locked="0" hidden="0"/>
    </xf>
    <xf numFmtId="0" fontId="9" fillId="4" borderId="4" applyAlignment="1" applyProtection="1" pivotButton="0" quotePrefix="0" xfId="0">
      <alignment horizontal="center" vertical="center"/>
      <protection locked="0" hidden="0"/>
    </xf>
    <xf numFmtId="0" fontId="7" fillId="5" borderId="0" applyAlignment="1" applyProtection="1" pivotButton="0" quotePrefix="0" xfId="0">
      <alignment horizontal="center" vertical="center" wrapText="1"/>
      <protection locked="0" hidden="0"/>
    </xf>
    <xf numFmtId="164" fontId="4" fillId="3" borderId="3" applyAlignment="1" applyProtection="1" pivotButton="0" quotePrefix="0" xfId="0">
      <alignment horizontal="right" vertical="center"/>
      <protection locked="0" hidden="0"/>
    </xf>
    <xf numFmtId="0" fontId="4" fillId="0" borderId="2" applyAlignment="1" applyProtection="1" pivotButton="0" quotePrefix="0" xfId="0">
      <alignment horizontal="left" vertical="center" indent="1"/>
      <protection locked="0" hidden="0"/>
    </xf>
    <xf numFmtId="165" fontId="4" fillId="3" borderId="2" applyAlignment="1" applyProtection="1" pivotButton="0" quotePrefix="0" xfId="0">
      <alignment horizontal="right" vertical="center"/>
      <protection locked="0" hidden="0"/>
    </xf>
    <xf numFmtId="167" fontId="4" fillId="0" borderId="2" applyAlignment="1" applyProtection="1" pivotButton="0" quotePrefix="0" xfId="0">
      <alignment horizontal="center" vertical="center"/>
      <protection locked="0" hidden="0"/>
    </xf>
    <xf numFmtId="167" fontId="4" fillId="0" borderId="2" applyAlignment="1" applyProtection="1" pivotButton="0" quotePrefix="0" xfId="0">
      <alignment horizontal="right" vertical="center"/>
      <protection locked="0" hidden="0"/>
    </xf>
    <xf numFmtId="167" fontId="4" fillId="7" borderId="2" applyAlignment="1" applyProtection="1" pivotButton="0" quotePrefix="0" xfId="0">
      <alignment horizontal="right" vertical="center"/>
      <protection locked="0" hidden="0"/>
    </xf>
    <xf numFmtId="167" fontId="4" fillId="8" borderId="2" applyAlignment="1" applyProtection="1" pivotButton="0" quotePrefix="0" xfId="0">
      <alignment horizontal="right" vertical="center"/>
      <protection locked="0" hidden="0"/>
    </xf>
    <xf numFmtId="167" fontId="4" fillId="6" borderId="4" applyAlignment="1" applyProtection="1" pivotButton="0" quotePrefix="0" xfId="0">
      <alignment horizontal="right" vertical="center"/>
      <protection locked="0" hidden="0"/>
    </xf>
    <xf numFmtId="167" fontId="3" fillId="2" borderId="9" applyAlignment="1" applyProtection="1" pivotButton="0" quotePrefix="0" xfId="0">
      <alignment horizontal="right" vertical="center"/>
      <protection locked="0" hidden="0"/>
    </xf>
    <xf numFmtId="167" fontId="3" fillId="2" borderId="10" applyAlignment="1" applyProtection="1" pivotButton="0" quotePrefix="0" xfId="0">
      <alignment horizontal="right" vertical="center"/>
      <protection locked="0" hidden="0"/>
    </xf>
    <xf numFmtId="167" fontId="3" fillId="9" borderId="2" applyAlignment="1" applyProtection="1" pivotButton="0" quotePrefix="0" xfId="0">
      <alignment horizontal="right" vertical="center"/>
      <protection locked="0" hidden="0"/>
    </xf>
    <xf numFmtId="167" fontId="3" fillId="10" borderId="2" applyAlignment="1" applyProtection="1" pivotButton="0" quotePrefix="0" xfId="0">
      <alignment horizontal="right" vertical="center"/>
      <protection locked="0" hidden="0"/>
    </xf>
    <xf numFmtId="167" fontId="9" fillId="11" borderId="2" applyAlignment="1" applyProtection="1" pivotButton="0" quotePrefix="0" xfId="0">
      <alignment horizontal="right" vertical="center"/>
      <protection locked="0" hidden="0"/>
    </xf>
    <xf numFmtId="167" fontId="9" fillId="2" borderId="9" applyAlignment="1" applyProtection="1" pivotButton="0" quotePrefix="0" xfId="0">
      <alignment horizontal="right" vertical="center"/>
      <protection locked="0" hidden="0"/>
    </xf>
    <xf numFmtId="167" fontId="9" fillId="0" borderId="2" applyAlignment="1" applyProtection="1" pivotButton="0" quotePrefix="0" xfId="0">
      <alignment horizontal="right" vertical="center"/>
      <protection locked="0" hidden="0"/>
    </xf>
    <xf numFmtId="167" fontId="4" fillId="3" borderId="2" applyAlignment="1" applyProtection="1" pivotButton="0" quotePrefix="0" xfId="0">
      <alignment horizontal="right" vertical="center"/>
      <protection locked="0" hidden="0"/>
    </xf>
    <xf numFmtId="168" fontId="4" fillId="0" borderId="2" applyAlignment="1" applyProtection="1" pivotButton="0" quotePrefix="0" xfId="0">
      <alignment horizontal="center" vertical="center"/>
      <protection locked="0" hidden="0"/>
    </xf>
    <xf numFmtId="168" fontId="4" fillId="0" borderId="2" applyAlignment="1" applyProtection="1" pivotButton="0" quotePrefix="0" xfId="0">
      <alignment horizontal="right" vertical="center"/>
      <protection locked="0" hidden="0"/>
    </xf>
    <xf numFmtId="168" fontId="4" fillId="7" borderId="2" applyAlignment="1" applyProtection="1" pivotButton="0" quotePrefix="0" xfId="0">
      <alignment horizontal="right" vertical="center"/>
      <protection locked="0" hidden="0"/>
    </xf>
    <xf numFmtId="168" fontId="4" fillId="8" borderId="2" applyAlignment="1" applyProtection="1" pivotButton="0" quotePrefix="0" xfId="0">
      <alignment horizontal="right" vertical="center"/>
      <protection locked="0" hidden="0"/>
    </xf>
    <xf numFmtId="168" fontId="4" fillId="6" borderId="4" applyAlignment="1" applyProtection="1" pivotButton="0" quotePrefix="0" xfId="0">
      <alignment horizontal="right" vertical="center"/>
      <protection locked="0" hidden="0"/>
    </xf>
    <xf numFmtId="168" fontId="3" fillId="2" borderId="9" applyAlignment="1" applyProtection="1" pivotButton="0" quotePrefix="0" xfId="0">
      <alignment horizontal="right" vertical="center"/>
      <protection locked="0" hidden="0"/>
    </xf>
    <xf numFmtId="168" fontId="3" fillId="2" borderId="10" applyAlignment="1" applyProtection="1" pivotButton="0" quotePrefix="0" xfId="0">
      <alignment horizontal="right" vertical="center"/>
      <protection locked="0" hidden="0"/>
    </xf>
    <xf numFmtId="168" fontId="3" fillId="9" borderId="2" applyAlignment="1" applyProtection="1" pivotButton="0" quotePrefix="0" xfId="0">
      <alignment horizontal="right" vertical="center"/>
      <protection locked="0" hidden="0"/>
    </xf>
    <xf numFmtId="168" fontId="3" fillId="10" borderId="2" applyAlignment="1" applyProtection="1" pivotButton="0" quotePrefix="0" xfId="0">
      <alignment horizontal="right" vertical="center"/>
      <protection locked="0" hidden="0"/>
    </xf>
    <xf numFmtId="168" fontId="9" fillId="11" borderId="2" applyAlignment="1" applyProtection="1" pivotButton="0" quotePrefix="0" xfId="0">
      <alignment horizontal="right" vertical="center"/>
      <protection locked="0" hidden="0"/>
    </xf>
    <xf numFmtId="168" fontId="9" fillId="2" borderId="9" applyAlignment="1" applyProtection="1" pivotButton="0" quotePrefix="0" xfId="0">
      <alignment horizontal="right" vertical="center"/>
      <protection locked="0" hidden="0"/>
    </xf>
    <xf numFmtId="168" fontId="9" fillId="0" borderId="2" applyAlignment="1" applyProtection="1" pivotButton="0" quotePrefix="0" xfId="0">
      <alignment horizontal="right" vertical="center"/>
      <protection locked="0" hidden="0"/>
    </xf>
    <xf numFmtId="168" fontId="4" fillId="3" borderId="2" applyAlignment="1" applyProtection="1" pivotButton="0" quotePrefix="0" xfId="0">
      <alignment horizontal="right" vertical="center"/>
      <protection locked="0" hidden="0"/>
    </xf>
  </cellXfs>
  <cellStyles count="1">
    <cellStyle name="Normal" xfId="0" builtinId="0" hidden="0"/>
  </cellStyles>
  <dxfs count="4">
    <dxf>
      <fill>
        <patternFill patternType="solid">
          <fgColor rgb="00E8F5E9"/>
        </patternFill>
      </fill>
    </dxf>
    <dxf>
      <fill>
        <patternFill patternType="solid">
          <fgColor rgb="00FFCCBC"/>
        </patternFill>
      </fill>
    </dxf>
    <dxf>
      <font>
        <b val="1"/>
        <color rgb="00C62828"/>
      </font>
      <fill>
        <patternFill patternType="solid">
          <fgColor rgb="00FCE4D6"/>
        </patternFill>
      </fill>
    </dxf>
    <dxf>
      <font>
        <b val="1"/>
        <color rgb="002E7D32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JournalDeCaisse" displayName="JournalDeCaisse" ref="B7:I37" headerRowCount="1">
  <autoFilter ref="B7:I37"/>
  <tableColumns count="8">
    <tableColumn id="2" name="Date"/>
    <tableColumn id="3" name="Employee / Initials"/>
    <tableColumn id="4" name="Cash Counted"/>
    <tableColumn id="5" name="Float Left"/>
    <tableColumn id="6" name="To Safe"/>
    <tableColumn id="7" name="From Safe"/>
    <tableColumn id="8" name="Net To Safe"/>
    <tableColumn id="9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7" customWidth="1" min="2" max="2"/>
    <col width="10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5" customWidth="1" min="10" max="10"/>
    <col width="13" customWidth="1" min="11" max="11"/>
    <col width="13" customWidth="1" min="12" max="12"/>
  </cols>
  <sheetData>
    <row r="1">
      <c r="A1" s="49" t="n"/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</row>
    <row r="2" ht="34" customHeight="1">
      <c r="A2" s="49" t="n"/>
      <c r="B2" s="50" t="inlineStr">
        <is>
          <t>Fermeture quotidienne de caisse</t>
        </is>
      </c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</row>
    <row r="3" ht="40" customHeight="1">
      <c r="A3" s="49" t="n"/>
      <c r="B3" s="51" t="inlineStr">
        <is>
          <t>Tous les montants sont en dollars canadiens (CAD). Inscrivez le nombre de billets et de pièces dans les cellules jaunes; les pièces de 1 ¢ ne sont pas incluses. Suivez les colonnes vertes et orange pour laisser le bon fond de caisse.</t>
        </is>
      </c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</row>
    <row r="5" ht="24" customHeight="1">
      <c r="A5" s="49" t="n"/>
      <c r="B5" s="52" t="inlineStr">
        <is>
          <t>Date</t>
        </is>
      </c>
      <c r="C5" s="53" t="n">
        <v>46318</v>
      </c>
      <c r="D5" s="54" t="n"/>
      <c r="E5" s="52" t="inlineStr">
        <is>
          <t>Employé(e)</t>
        </is>
      </c>
      <c r="F5" s="55" t="n"/>
      <c r="G5" s="56" t="n"/>
      <c r="H5" s="57" t="n"/>
      <c r="I5" s="52" t="inlineStr">
        <is>
          <t>État du compte</t>
        </is>
      </c>
      <c r="J5" s="58">
        <f>IF(COUNT(D9:D18)&lt;COUNTA(B9:B18),"ENTREZ TOUTES LES QUANTITÉS","COMPTE COMPLET")</f>
        <v/>
      </c>
      <c r="K5" s="56" t="n"/>
      <c r="L5" s="57" t="n"/>
    </row>
    <row r="6" ht="42" customHeight="1">
      <c r="A6" s="49" t="n"/>
      <c r="B6" s="59" t="inlineStr">
        <is>
          <t>Étapes de fermeture : 1) Inscrivez une quantité dans chaque cellule jaune, y compris 0.  2) Attendez le message « COMPTE COMPLET ».  3) Déposez les quantités vertes au coffre-fort et ajoutez les quantités orange depuis le coffre-fort.  4) Le total final égalera le fond de caisse configuré.</t>
        </is>
      </c>
      <c r="C6" s="49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</row>
    <row r="7" ht="24" customHeight="1">
      <c r="A7" s="49" t="n"/>
      <c r="B7" s="60" t="inlineStr">
        <is>
          <t>COMPTE ET AJUSTEMENT PAR COUPURE</t>
        </is>
      </c>
      <c r="C7" s="49" t="n"/>
      <c r="D7" s="49" t="n"/>
      <c r="E7" s="49" t="n"/>
      <c r="F7" s="49" t="n"/>
      <c r="G7" s="49" t="n"/>
      <c r="H7" s="49" t="n"/>
      <c r="I7" s="49" t="n"/>
      <c r="J7" s="49" t="n"/>
      <c r="K7" s="49" t="n"/>
      <c r="L7" s="49" t="n"/>
    </row>
    <row r="8" ht="33" customHeight="1">
      <c r="A8" s="49" t="n"/>
      <c r="B8" s="61" t="inlineStr">
        <is>
          <t>Billet /
pièce</t>
        </is>
      </c>
      <c r="C8" s="62" t="inlineStr">
        <is>
          <t>Valeur</t>
        </is>
      </c>
      <c r="D8" s="62" t="inlineStr">
        <is>
          <t>Qté
comptée</t>
        </is>
      </c>
      <c r="E8" s="62" t="inlineStr">
        <is>
          <t>Montant
compté</t>
        </is>
      </c>
      <c r="F8" s="62" t="inlineStr">
        <is>
          <t>Qté idéale
à laisser</t>
        </is>
      </c>
      <c r="G8" s="62" t="inlineStr">
        <is>
          <t>Qté à déposer
au coffre</t>
        </is>
      </c>
      <c r="H8" s="62" t="inlineStr">
        <is>
          <t>Montant
à déposer</t>
        </is>
      </c>
      <c r="I8" s="62" t="inlineStr">
        <is>
          <t>Qté à prendre
du coffre</t>
        </is>
      </c>
      <c r="J8" s="62" t="inlineStr">
        <is>
          <t>Montant
à prendre</t>
        </is>
      </c>
      <c r="K8" s="62" t="inlineStr">
        <is>
          <t>Qté finale
en caisse</t>
        </is>
      </c>
      <c r="L8" s="63" t="inlineStr">
        <is>
          <t>Valeur finale
en caisse</t>
        </is>
      </c>
    </row>
    <row r="9" ht="20" customHeight="1">
      <c r="A9" s="49" t="n"/>
      <c r="B9" s="64" t="inlineStr">
        <is>
          <t>Billet de 100 $</t>
        </is>
      </c>
      <c r="C9" s="112" t="n">
        <v>100</v>
      </c>
      <c r="D9" s="66" t="n"/>
      <c r="E9" s="113">
        <f>IF(D9="","",C9*D9)</f>
        <v/>
      </c>
      <c r="F9" s="68">
        <f>'Paramètres gérant'!D8</f>
        <v/>
      </c>
      <c r="G9" s="69">
        <f>IF(D9="","",MAX(D9-F9,0))</f>
        <v/>
      </c>
      <c r="H9" s="114">
        <f>IF(G9="","",C9*G9)</f>
        <v/>
      </c>
      <c r="I9" s="71">
        <f>IF(D9="","",MAX(F9-D9,0))</f>
        <v/>
      </c>
      <c r="J9" s="115">
        <f>IF(I9="","",C9*I9)</f>
        <v/>
      </c>
      <c r="K9" s="68">
        <f>IF(D9="","",F9)</f>
        <v/>
      </c>
      <c r="L9" s="116">
        <f>IF(K9="","",C9*K9)</f>
        <v/>
      </c>
    </row>
    <row r="10" ht="20" customHeight="1">
      <c r="A10" s="49" t="n"/>
      <c r="B10" s="64" t="inlineStr">
        <is>
          <t>Billet de 50 $</t>
        </is>
      </c>
      <c r="C10" s="112" t="n">
        <v>50</v>
      </c>
      <c r="D10" s="66" t="n"/>
      <c r="E10" s="113">
        <f>IF(D10="","",C10*D10)</f>
        <v/>
      </c>
      <c r="F10" s="68">
        <f>'Paramètres gérant'!D9</f>
        <v/>
      </c>
      <c r="G10" s="69">
        <f>IF(D10="","",MAX(D10-F10,0))</f>
        <v/>
      </c>
      <c r="H10" s="114">
        <f>IF(G10="","",C10*G10)</f>
        <v/>
      </c>
      <c r="I10" s="71">
        <f>IF(D10="","",MAX(F10-D10,0))</f>
        <v/>
      </c>
      <c r="J10" s="115">
        <f>IF(I10="","",C10*I10)</f>
        <v/>
      </c>
      <c r="K10" s="68">
        <f>IF(D10="","",F10)</f>
        <v/>
      </c>
      <c r="L10" s="116">
        <f>IF(K10="","",C10*K10)</f>
        <v/>
      </c>
    </row>
    <row r="11" ht="20" customHeight="1">
      <c r="A11" s="49" t="n"/>
      <c r="B11" s="64" t="inlineStr">
        <is>
          <t>Billet de 20 $</t>
        </is>
      </c>
      <c r="C11" s="112" t="n">
        <v>20</v>
      </c>
      <c r="D11" s="66" t="n"/>
      <c r="E11" s="113">
        <f>IF(D11="","",C11*D11)</f>
        <v/>
      </c>
      <c r="F11" s="68">
        <f>'Paramètres gérant'!D10</f>
        <v/>
      </c>
      <c r="G11" s="69">
        <f>IF(D11="","",MAX(D11-F11,0))</f>
        <v/>
      </c>
      <c r="H11" s="114">
        <f>IF(G11="","",C11*G11)</f>
        <v/>
      </c>
      <c r="I11" s="71">
        <f>IF(D11="","",MAX(F11-D11,0))</f>
        <v/>
      </c>
      <c r="J11" s="115">
        <f>IF(I11="","",C11*I11)</f>
        <v/>
      </c>
      <c r="K11" s="68">
        <f>IF(D11="","",F11)</f>
        <v/>
      </c>
      <c r="L11" s="116">
        <f>IF(K11="","",C11*K11)</f>
        <v/>
      </c>
    </row>
    <row r="12" ht="20" customHeight="1">
      <c r="A12" s="49" t="n"/>
      <c r="B12" s="64" t="inlineStr">
        <is>
          <t>Billet de 10 $</t>
        </is>
      </c>
      <c r="C12" s="112" t="n">
        <v>10</v>
      </c>
      <c r="D12" s="66" t="n"/>
      <c r="E12" s="113">
        <f>IF(D12="","",C12*D12)</f>
        <v/>
      </c>
      <c r="F12" s="68">
        <f>'Paramètres gérant'!D11</f>
        <v/>
      </c>
      <c r="G12" s="69">
        <f>IF(D12="","",MAX(D12-F12,0))</f>
        <v/>
      </c>
      <c r="H12" s="114">
        <f>IF(G12="","",C12*G12)</f>
        <v/>
      </c>
      <c r="I12" s="71">
        <f>IF(D12="","",MAX(F12-D12,0))</f>
        <v/>
      </c>
      <c r="J12" s="115">
        <f>IF(I12="","",C12*I12)</f>
        <v/>
      </c>
      <c r="K12" s="68">
        <f>IF(D12="","",F12)</f>
        <v/>
      </c>
      <c r="L12" s="116">
        <f>IF(K12="","",C12*K12)</f>
        <v/>
      </c>
    </row>
    <row r="13" ht="20" customHeight="1">
      <c r="A13" s="49" t="n"/>
      <c r="B13" s="64" t="inlineStr">
        <is>
          <t>Billet de 5 $</t>
        </is>
      </c>
      <c r="C13" s="112" t="n">
        <v>5</v>
      </c>
      <c r="D13" s="66" t="n"/>
      <c r="E13" s="113">
        <f>IF(D13="","",C13*D13)</f>
        <v/>
      </c>
      <c r="F13" s="68">
        <f>'Paramètres gérant'!D12</f>
        <v/>
      </c>
      <c r="G13" s="69">
        <f>IF(D13="","",MAX(D13-F13,0))</f>
        <v/>
      </c>
      <c r="H13" s="114">
        <f>IF(G13="","",C13*G13)</f>
        <v/>
      </c>
      <c r="I13" s="71">
        <f>IF(D13="","",MAX(F13-D13,0))</f>
        <v/>
      </c>
      <c r="J13" s="115">
        <f>IF(I13="","",C13*I13)</f>
        <v/>
      </c>
      <c r="K13" s="68">
        <f>IF(D13="","",F13)</f>
        <v/>
      </c>
      <c r="L13" s="116">
        <f>IF(K13="","",C13*K13)</f>
        <v/>
      </c>
    </row>
    <row r="14" ht="20" customHeight="1">
      <c r="A14" s="49" t="n"/>
      <c r="B14" s="64" t="inlineStr">
        <is>
          <t>Pièce de 2 $</t>
        </is>
      </c>
      <c r="C14" s="112" t="n">
        <v>2</v>
      </c>
      <c r="D14" s="66" t="n"/>
      <c r="E14" s="113">
        <f>IF(D14="","",C14*D14)</f>
        <v/>
      </c>
      <c r="F14" s="68">
        <f>'Paramètres gérant'!D13</f>
        <v/>
      </c>
      <c r="G14" s="69">
        <f>IF(D14="","",MAX(D14-F14,0))</f>
        <v/>
      </c>
      <c r="H14" s="114">
        <f>IF(G14="","",C14*G14)</f>
        <v/>
      </c>
      <c r="I14" s="71">
        <f>IF(D14="","",MAX(F14-D14,0))</f>
        <v/>
      </c>
      <c r="J14" s="115">
        <f>IF(I14="","",C14*I14)</f>
        <v/>
      </c>
      <c r="K14" s="68">
        <f>IF(D14="","",F14)</f>
        <v/>
      </c>
      <c r="L14" s="116">
        <f>IF(K14="","",C14*K14)</f>
        <v/>
      </c>
    </row>
    <row r="15" ht="20" customHeight="1">
      <c r="A15" s="49" t="n"/>
      <c r="B15" s="64" t="inlineStr">
        <is>
          <t>Pièce de 1 $</t>
        </is>
      </c>
      <c r="C15" s="112" t="n">
        <v>1</v>
      </c>
      <c r="D15" s="66" t="n"/>
      <c r="E15" s="113">
        <f>IF(D15="","",C15*D15)</f>
        <v/>
      </c>
      <c r="F15" s="68">
        <f>'Paramètres gérant'!D14</f>
        <v/>
      </c>
      <c r="G15" s="69">
        <f>IF(D15="","",MAX(D15-F15,0))</f>
        <v/>
      </c>
      <c r="H15" s="114">
        <f>IF(G15="","",C15*G15)</f>
        <v/>
      </c>
      <c r="I15" s="71">
        <f>IF(D15="","",MAX(F15-D15,0))</f>
        <v/>
      </c>
      <c r="J15" s="115">
        <f>IF(I15="","",C15*I15)</f>
        <v/>
      </c>
      <c r="K15" s="68">
        <f>IF(D15="","",F15)</f>
        <v/>
      </c>
      <c r="L15" s="116">
        <f>IF(K15="","",C15*K15)</f>
        <v/>
      </c>
    </row>
    <row r="16" ht="20" customHeight="1">
      <c r="A16" s="49" t="n"/>
      <c r="B16" s="64" t="inlineStr">
        <is>
          <t>Pièce de 25 ¢</t>
        </is>
      </c>
      <c r="C16" s="112" t="n">
        <v>0.25</v>
      </c>
      <c r="D16" s="66" t="n"/>
      <c r="E16" s="113">
        <f>IF(D16="","",C16*D16)</f>
        <v/>
      </c>
      <c r="F16" s="68">
        <f>'Paramètres gérant'!D15</f>
        <v/>
      </c>
      <c r="G16" s="69">
        <f>IF(D16="","",MAX(D16-F16,0))</f>
        <v/>
      </c>
      <c r="H16" s="114">
        <f>IF(G16="","",C16*G16)</f>
        <v/>
      </c>
      <c r="I16" s="71">
        <f>IF(D16="","",MAX(F16-D16,0))</f>
        <v/>
      </c>
      <c r="J16" s="115">
        <f>IF(I16="","",C16*I16)</f>
        <v/>
      </c>
      <c r="K16" s="68">
        <f>IF(D16="","",F16)</f>
        <v/>
      </c>
      <c r="L16" s="116">
        <f>IF(K16="","",C16*K16)</f>
        <v/>
      </c>
    </row>
    <row r="17" ht="20" customHeight="1">
      <c r="A17" s="49" t="n"/>
      <c r="B17" s="64" t="inlineStr">
        <is>
          <t>Pièce de 10 ¢</t>
        </is>
      </c>
      <c r="C17" s="112" t="n">
        <v>0.1</v>
      </c>
      <c r="D17" s="66" t="n"/>
      <c r="E17" s="113">
        <f>IF(D17="","",C17*D17)</f>
        <v/>
      </c>
      <c r="F17" s="68">
        <f>'Paramètres gérant'!D16</f>
        <v/>
      </c>
      <c r="G17" s="69">
        <f>IF(D17="","",MAX(D17-F17,0))</f>
        <v/>
      </c>
      <c r="H17" s="114">
        <f>IF(G17="","",C17*G17)</f>
        <v/>
      </c>
      <c r="I17" s="71">
        <f>IF(D17="","",MAX(F17-D17,0))</f>
        <v/>
      </c>
      <c r="J17" s="115">
        <f>IF(I17="","",C17*I17)</f>
        <v/>
      </c>
      <c r="K17" s="68">
        <f>IF(D17="","",F17)</f>
        <v/>
      </c>
      <c r="L17" s="116">
        <f>IF(K17="","",C17*K17)</f>
        <v/>
      </c>
    </row>
    <row r="18" ht="20" customHeight="1">
      <c r="A18" s="49" t="n"/>
      <c r="B18" s="64" t="inlineStr">
        <is>
          <t>Pièce de 5 ¢</t>
        </is>
      </c>
      <c r="C18" s="112" t="n">
        <v>0.05</v>
      </c>
      <c r="D18" s="66" t="n"/>
      <c r="E18" s="113">
        <f>IF(D18="","",C18*D18)</f>
        <v/>
      </c>
      <c r="F18" s="68">
        <f>'Paramètres gérant'!D17</f>
        <v/>
      </c>
      <c r="G18" s="69">
        <f>IF(D18="","",MAX(D18-F18,0))</f>
        <v/>
      </c>
      <c r="H18" s="114">
        <f>IF(G18="","",C18*G18)</f>
        <v/>
      </c>
      <c r="I18" s="71">
        <f>IF(D18="","",MAX(F18-D18,0))</f>
        <v/>
      </c>
      <c r="J18" s="115">
        <f>IF(I18="","",C18*I18)</f>
        <v/>
      </c>
      <c r="K18" s="68">
        <f>IF(D18="","",F18)</f>
        <v/>
      </c>
      <c r="L18" s="116">
        <f>IF(K18="","",C18*K18)</f>
        <v/>
      </c>
    </row>
    <row r="19" ht="22" customHeight="1">
      <c r="A19" s="49" t="n"/>
      <c r="B19" s="74" t="inlineStr">
        <is>
          <t>TOTAL</t>
        </is>
      </c>
      <c r="C19" s="75" t="n"/>
      <c r="D19" s="75" t="n"/>
      <c r="E19" s="117">
        <f>SUM(E9:E18)</f>
        <v/>
      </c>
      <c r="F19" s="117">
        <f>SUMPRODUCT(C9:C18,F9:F18)</f>
        <v/>
      </c>
      <c r="G19" s="75" t="n"/>
      <c r="H19" s="117">
        <f>SUM(H9:H18)</f>
        <v/>
      </c>
      <c r="I19" s="75" t="n"/>
      <c r="J19" s="117">
        <f>SUM(J9:J18)</f>
        <v/>
      </c>
      <c r="K19" s="75" t="n"/>
      <c r="L19" s="118">
        <f>SUM(L9:L18)</f>
        <v/>
      </c>
    </row>
    <row r="20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</row>
    <row r="21" ht="24" customHeight="1">
      <c r="A21" s="49" t="n"/>
      <c r="B21" s="60" t="inlineStr">
        <is>
          <t>RÉSUMÉ DE FERMETURE</t>
        </is>
      </c>
      <c r="C21" s="49" t="n"/>
      <c r="D21" s="49" t="n"/>
      <c r="E21" s="49" t="n"/>
      <c r="F21" s="49" t="n"/>
      <c r="G21" s="49" t="n"/>
      <c r="H21" s="60" t="inlineStr">
        <is>
          <t>LISTE RAPIDE</t>
        </is>
      </c>
      <c r="I21" s="49" t="n"/>
      <c r="J21" s="49" t="n"/>
      <c r="K21" s="49" t="n"/>
      <c r="L21" s="49" t="n"/>
    </row>
    <row r="22" ht="27" customHeight="1">
      <c r="A22" s="49" t="n"/>
      <c r="B22" s="78" t="inlineStr">
        <is>
          <t>Argent total compté en caisse</t>
        </is>
      </c>
      <c r="C22" s="56" t="n"/>
      <c r="D22" s="56" t="n"/>
      <c r="E22" s="119">
        <f>IF($J$5="COMPTE COMPLET",E19,"")</f>
        <v/>
      </c>
      <c r="F22" s="80" t="inlineStr"/>
      <c r="G22" s="49" t="n"/>
      <c r="H22" s="81" t="inlineStr">
        <is>
          <t>1. Inscrivez une quantité dans toutes les cases jaunes — indiquez 0 lorsqu’il n’y en a pas.</t>
        </is>
      </c>
      <c r="I22" s="56" t="n"/>
      <c r="J22" s="56" t="n"/>
      <c r="K22" s="56" t="n"/>
      <c r="L22" s="57" t="n"/>
    </row>
    <row r="23" ht="22" customHeight="1">
      <c r="A23" s="49" t="n"/>
      <c r="B23" s="78" t="inlineStr">
        <is>
          <t>Fond de caisse à laisser</t>
        </is>
      </c>
      <c r="C23" s="56" t="n"/>
      <c r="D23" s="56" t="n"/>
      <c r="E23" s="120">
        <f>IF($J$5="COMPTE COMPLET",L19,"")</f>
        <v/>
      </c>
      <c r="F23" s="80" t="inlineStr"/>
      <c r="G23" s="49" t="n"/>
      <c r="H23" s="81" t="inlineStr">
        <is>
          <t>2. Vérifiez que l’état du compte indique « COMPTE COMPLET ».</t>
        </is>
      </c>
      <c r="I23" s="56" t="n"/>
      <c r="J23" s="56" t="n"/>
      <c r="K23" s="56" t="n"/>
      <c r="L23" s="57" t="n"/>
    </row>
    <row r="24" ht="27" customHeight="1">
      <c r="A24" s="49" t="n"/>
      <c r="B24" s="78" t="inlineStr">
        <is>
          <t>Montant à déposer au coffre-fort</t>
        </is>
      </c>
      <c r="C24" s="56" t="n"/>
      <c r="D24" s="56" t="n"/>
      <c r="E24" s="119">
        <f>IF($J$5="COMPTE COMPLET",H19,"")</f>
        <v/>
      </c>
      <c r="F24" s="80" t="inlineStr"/>
      <c r="G24" s="49" t="n"/>
      <c r="H24" s="81" t="inlineStr">
        <is>
          <t>3. Déposez les quantités vertes au coffre-fort. Prenez les quantités orange du coffre-fort.</t>
        </is>
      </c>
      <c r="I24" s="56" t="n"/>
      <c r="J24" s="56" t="n"/>
      <c r="K24" s="56" t="n"/>
      <c r="L24" s="57" t="n"/>
    </row>
    <row r="25" ht="22" customHeight="1">
      <c r="A25" s="49" t="n"/>
      <c r="B25" s="78" t="inlineStr">
        <is>
          <t>Montant à prendre du coffre-fort</t>
        </is>
      </c>
      <c r="C25" s="56" t="n"/>
      <c r="D25" s="56" t="n"/>
      <c r="E25" s="119">
        <f>IF($J$5="COMPTE COMPLET",J19,"")</f>
        <v/>
      </c>
      <c r="F25" s="80" t="inlineStr"/>
      <c r="G25" s="49" t="n"/>
      <c r="H25" s="81" t="inlineStr">
        <is>
          <t>4. Après l’ajustement, le total de la caisse doit égaler le fond de caisse.</t>
        </is>
      </c>
      <c r="I25" s="56" t="n"/>
      <c r="J25" s="56" t="n"/>
      <c r="K25" s="56" t="n"/>
      <c r="L25" s="57" t="n"/>
    </row>
    <row r="26" ht="27" customHeight="1">
      <c r="A26" s="49" t="n"/>
      <c r="B26" s="78" t="inlineStr">
        <is>
          <t>Net au coffre-fort (+) / à prendre (-)</t>
        </is>
      </c>
      <c r="C26" s="56" t="n"/>
      <c r="D26" s="56" t="n"/>
      <c r="E26" s="119">
        <f>IF($J$5="COMPTE COMPLET",H19-J19,"")</f>
        <v/>
      </c>
      <c r="F26" s="80" t="inlineStr"/>
      <c r="G26" s="49" t="n"/>
      <c r="H26" s="81" t="inlineStr">
        <is>
          <t>5. Copiez les totaux dans le Journal de caisse si vous conservez un registre quotidien.</t>
        </is>
      </c>
      <c r="I26" s="56" t="n"/>
      <c r="J26" s="56" t="n"/>
      <c r="K26" s="56" t="n"/>
      <c r="L26" s="57" t="n"/>
    </row>
    <row r="27" ht="27" customHeight="1">
      <c r="A27" s="49" t="n"/>
      <c r="B27" s="78" t="inlineStr">
        <is>
          <t>Total final de la caisse après ajustement</t>
        </is>
      </c>
      <c r="C27" s="56" t="n"/>
      <c r="D27" s="56" t="n"/>
      <c r="E27" s="120">
        <f>IF($J$5="COMPTE COMPLET",L19,"")</f>
        <v/>
      </c>
      <c r="F27" s="80" t="inlineStr"/>
      <c r="G27" s="49" t="n"/>
      <c r="H27" s="81" t="inlineStr">
        <is>
          <t>6. Important : suivez les directives par coupure, pas seulement le montant net.</t>
        </is>
      </c>
      <c r="I27" s="56" t="n"/>
      <c r="J27" s="56" t="n"/>
      <c r="K27" s="56" t="n"/>
      <c r="L27" s="57" t="n"/>
    </row>
    <row r="28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</row>
    <row r="29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</row>
    <row r="30" ht="22" customHeight="1">
      <c r="A30" s="49" t="n"/>
      <c r="B30" s="83" t="inlineStr">
        <is>
          <t>Code couleur : Jaune = quantité à inscrire  |  Vert = déposer au coffre-fort  |  Orange = prendre du coffre-fort  |  Bleu = cible du gérant / résultat calculé</t>
        </is>
      </c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</row>
  </sheetData>
  <mergeCells count="21">
    <mergeCell ref="H26:L26"/>
    <mergeCell ref="F5:H5"/>
    <mergeCell ref="B23:D23"/>
    <mergeCell ref="B7:L7"/>
    <mergeCell ref="B3:L3"/>
    <mergeCell ref="B21:F21"/>
    <mergeCell ref="H25:L25"/>
    <mergeCell ref="H21:L21"/>
    <mergeCell ref="B2:L2"/>
    <mergeCell ref="B24:D24"/>
    <mergeCell ref="B26:D26"/>
    <mergeCell ref="B25:D25"/>
    <mergeCell ref="H22:L22"/>
    <mergeCell ref="J5:L5"/>
    <mergeCell ref="H27:L27"/>
    <mergeCell ref="B6:L6"/>
    <mergeCell ref="B30:L30"/>
    <mergeCell ref="B22:D22"/>
    <mergeCell ref="H24:L24"/>
    <mergeCell ref="B27:D27"/>
    <mergeCell ref="H23:L23"/>
  </mergeCells>
  <conditionalFormatting sqref="J5">
    <cfRule type="expression" priority="5" dxfId="0">
      <formula>$J$5="COMPTE COMPLET"</formula>
    </cfRule>
    <cfRule type="expression" priority="6" dxfId="1">
      <formula>$J$5="ENTREZ TOUTES LES QUANTITÉS"</formula>
    </cfRule>
  </conditionalFormatting>
  <conditionalFormatting sqref="E26">
    <cfRule type="expression" priority="7" dxfId="2">
      <formula>E26&lt;0</formula>
    </cfRule>
    <cfRule type="expression" priority="8" dxfId="3">
      <formula>E26&gt;0</formula>
    </cfRule>
  </conditionalFormatting>
  <dataValidations count="2">
    <dataValidation sqref="D9:D18" showDropDown="0" showInputMessage="0" showErrorMessage="0" allowBlank="1" errorTitle="Nombres entiers seulement" error="Entrez un nombre entier de 0 à 9 999. Indiquez 0 lorsqu’il n’y en a pas." promptTitle="Quantité comptée" prompt="Entrez le nombre de billets ou de pièces dans la caisse. Indiquez 0 lorsqu’il n’y en a pas." type="whole" operator="between">
      <formula1>0</formula1>
      <formula2>9999</formula2>
    </dataValidation>
    <dataValidation sqref="C5" showDropDown="0" showInputMessage="0" showErrorMessage="0" allowBlank="0" errorTitle="Date valide requise" error="Entrez une date valide." type="date" operator="between">
      <formula1>DATE(2020,1,1)</formula1>
      <formula2>DATE(2100,12,31)</formula2>
    </dataValidation>
  </dataValidations>
  <pageMargins left="0.25" right="0.25" top="0.45" bottom="0.45" header="0.2" footer="0.2"/>
  <pageSetup orientation="landscape" paperSize="1" fitToHeight="1" fitToWidth="1"/>
  <headerFooter>
    <oddHeader/>
    <oddFooter>&amp;CPage &amp;P of &amp;N&amp;RFermeture quotidienne de caisse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23" customWidth="1" min="4" max="4"/>
    <col width="16" customWidth="1" min="5" max="5"/>
    <col width="20" customWidth="1" min="6" max="6"/>
  </cols>
  <sheetData>
    <row r="1">
      <c r="A1" s="49" t="n"/>
      <c r="B1" s="49" t="n"/>
      <c r="C1" s="49" t="n"/>
      <c r="D1" s="49" t="n"/>
      <c r="E1" s="49" t="n"/>
      <c r="F1" s="49" t="n"/>
    </row>
    <row r="2" ht="34" customHeight="1">
      <c r="A2" s="49" t="n"/>
      <c r="B2" s="50" t="inlineStr">
        <is>
          <t>Paramètres du gérant : fond de caisse et coupures</t>
        </is>
      </c>
      <c r="C2" s="49" t="n"/>
      <c r="D2" s="49" t="n"/>
      <c r="E2" s="49" t="n"/>
      <c r="F2" s="49" t="n"/>
    </row>
    <row r="3" ht="40" customHeight="1">
      <c r="A3" s="49" t="n"/>
      <c r="B3" s="51" t="inlineStr">
        <is>
          <t>Pour le gérant : modifiez les cellules jaunes « Qté idéale à laisser » selon vos besoins. Le total configuré doit égaler le fond attendu avant l’utilisation de la feuille Fermeture de caisse.</t>
        </is>
      </c>
      <c r="C3" s="49" t="n"/>
      <c r="D3" s="49" t="n"/>
      <c r="E3" s="49" t="n"/>
      <c r="F3" s="49" t="n"/>
    </row>
    <row r="4">
      <c r="A4" s="49" t="n"/>
      <c r="B4" s="49" t="n"/>
      <c r="C4" s="49" t="n"/>
      <c r="D4" s="49" t="n"/>
      <c r="E4" s="49" t="n"/>
      <c r="F4" s="49" t="n"/>
    </row>
    <row r="5" ht="24" customHeight="1">
      <c r="A5" s="49" t="n"/>
      <c r="B5" s="60" t="inlineStr">
        <is>
          <t>PARAMÈTRES DU FOND DE CAISSE</t>
        </is>
      </c>
      <c r="C5" s="49" t="n"/>
      <c r="D5" s="49" t="n"/>
      <c r="E5" s="49" t="n"/>
      <c r="F5" s="49" t="n"/>
    </row>
    <row r="6" ht="24" customHeight="1">
      <c r="A6" s="49" t="n"/>
      <c r="B6" s="84" t="inlineStr">
        <is>
          <t>Fond de caisse attendu</t>
        </is>
      </c>
      <c r="C6" s="121" t="n">
        <v>250</v>
      </c>
      <c r="D6" s="86" t="inlineStr">
        <is>
          <t>Modifiez seulement si le total du fond de caisse doit changer.</t>
        </is>
      </c>
      <c r="E6" s="56" t="n"/>
      <c r="F6" s="57" t="n"/>
    </row>
    <row r="7" ht="33" customHeight="1">
      <c r="A7" s="49" t="n"/>
      <c r="B7" s="61" t="inlineStr">
        <is>
          <t>Billet / pièce</t>
        </is>
      </c>
      <c r="C7" s="62" t="inlineStr">
        <is>
          <t>Valeur</t>
        </is>
      </c>
      <c r="D7" s="62" t="inlineStr">
        <is>
          <t>Qté idéale à laisser</t>
        </is>
      </c>
      <c r="E7" s="62" t="inlineStr">
        <is>
          <t>Valeur idéale à laisser</t>
        </is>
      </c>
      <c r="F7" s="63" t="inlineStr">
        <is>
          <t>Note du gérant</t>
        </is>
      </c>
    </row>
    <row r="8" ht="20" customHeight="1">
      <c r="A8" s="49" t="n"/>
      <c r="B8" s="64" t="inlineStr">
        <is>
          <t>Billet de 100 $</t>
        </is>
      </c>
      <c r="C8" s="112" t="n">
        <v>100</v>
      </c>
      <c r="D8" s="87" t="n">
        <v>0</v>
      </c>
      <c r="E8" s="113">
        <f>C8*D8</f>
        <v/>
      </c>
      <c r="F8" s="88" t="inlineStr"/>
    </row>
    <row r="9" ht="20" customHeight="1">
      <c r="A9" s="49" t="n"/>
      <c r="B9" s="64" t="inlineStr">
        <is>
          <t>Billet de 50 $</t>
        </is>
      </c>
      <c r="C9" s="112" t="n">
        <v>50</v>
      </c>
      <c r="D9" s="87" t="n">
        <v>0</v>
      </c>
      <c r="E9" s="113">
        <f>C9*D9</f>
        <v/>
      </c>
      <c r="F9" s="88" t="inlineStr"/>
    </row>
    <row r="10" ht="20" customHeight="1">
      <c r="A10" s="49" t="n"/>
      <c r="B10" s="64" t="inlineStr">
        <is>
          <t>Billet de 20 $</t>
        </is>
      </c>
      <c r="C10" s="112" t="n">
        <v>20</v>
      </c>
      <c r="D10" s="87" t="n">
        <v>5</v>
      </c>
      <c r="E10" s="113">
        <f>C10*D10</f>
        <v/>
      </c>
      <c r="F10" s="88" t="inlineStr"/>
    </row>
    <row r="11" ht="20" customHeight="1">
      <c r="A11" s="49" t="n"/>
      <c r="B11" s="64" t="inlineStr">
        <is>
          <t>Billet de 10 $</t>
        </is>
      </c>
      <c r="C11" s="112" t="n">
        <v>10</v>
      </c>
      <c r="D11" s="87" t="n">
        <v>6</v>
      </c>
      <c r="E11" s="113">
        <f>C11*D11</f>
        <v/>
      </c>
      <c r="F11" s="88" t="inlineStr"/>
    </row>
    <row r="12" ht="20" customHeight="1">
      <c r="A12" s="49" t="n"/>
      <c r="B12" s="64" t="inlineStr">
        <is>
          <t>Billet de 5 $</t>
        </is>
      </c>
      <c r="C12" s="112" t="n">
        <v>5</v>
      </c>
      <c r="D12" s="87" t="n">
        <v>8</v>
      </c>
      <c r="E12" s="113">
        <f>C12*D12</f>
        <v/>
      </c>
      <c r="F12" s="88" t="inlineStr"/>
    </row>
    <row r="13" ht="20" customHeight="1">
      <c r="A13" s="49" t="n"/>
      <c r="B13" s="64" t="inlineStr">
        <is>
          <t>Pièce de 2 $</t>
        </is>
      </c>
      <c r="C13" s="112" t="n">
        <v>2</v>
      </c>
      <c r="D13" s="87" t="n">
        <v>10</v>
      </c>
      <c r="E13" s="113">
        <f>C13*D13</f>
        <v/>
      </c>
      <c r="F13" s="88" t="inlineStr"/>
    </row>
    <row r="14" ht="20" customHeight="1">
      <c r="A14" s="49" t="n"/>
      <c r="B14" s="64" t="inlineStr">
        <is>
          <t>Pièce de 1 $</t>
        </is>
      </c>
      <c r="C14" s="112" t="n">
        <v>1</v>
      </c>
      <c r="D14" s="87" t="n">
        <v>15</v>
      </c>
      <c r="E14" s="113">
        <f>C14*D14</f>
        <v/>
      </c>
      <c r="F14" s="88" t="inlineStr"/>
    </row>
    <row r="15" ht="20" customHeight="1">
      <c r="A15" s="49" t="n"/>
      <c r="B15" s="64" t="inlineStr">
        <is>
          <t>Pièce de 25 ¢</t>
        </is>
      </c>
      <c r="C15" s="112" t="n">
        <v>0.25</v>
      </c>
      <c r="D15" s="87" t="n">
        <v>40</v>
      </c>
      <c r="E15" s="113">
        <f>C15*D15</f>
        <v/>
      </c>
      <c r="F15" s="88" t="inlineStr"/>
    </row>
    <row r="16" ht="20" customHeight="1">
      <c r="A16" s="49" t="n"/>
      <c r="B16" s="64" t="inlineStr">
        <is>
          <t>Pièce de 10 ¢</t>
        </is>
      </c>
      <c r="C16" s="112" t="n">
        <v>0.1</v>
      </c>
      <c r="D16" s="87" t="n">
        <v>30</v>
      </c>
      <c r="E16" s="113">
        <f>C16*D16</f>
        <v/>
      </c>
      <c r="F16" s="88" t="inlineStr"/>
    </row>
    <row r="17" ht="20" customHeight="1">
      <c r="A17" s="49" t="n"/>
      <c r="B17" s="64" t="inlineStr">
        <is>
          <t>Pièce de 5 ¢</t>
        </is>
      </c>
      <c r="C17" s="112" t="n">
        <v>0.05</v>
      </c>
      <c r="D17" s="87" t="n">
        <v>40</v>
      </c>
      <c r="E17" s="113">
        <f>C17*D17</f>
        <v/>
      </c>
      <c r="F17" s="88" t="inlineStr"/>
    </row>
    <row r="18" ht="22" customHeight="1">
      <c r="A18" s="49" t="n"/>
      <c r="B18" s="89" t="inlineStr">
        <is>
          <t>FOND CONFIGURÉ</t>
        </is>
      </c>
      <c r="C18" s="90" t="n"/>
      <c r="D18" s="90" t="n"/>
      <c r="E18" s="122">
        <f>SUM(E8:E17)</f>
        <v/>
      </c>
      <c r="F18" s="92" t="n"/>
    </row>
    <row r="19">
      <c r="A19" s="49" t="n"/>
      <c r="B19" s="49" t="n"/>
      <c r="C19" s="49" t="n"/>
      <c r="D19" s="49" t="n"/>
      <c r="E19" s="49" t="n"/>
      <c r="F19" s="49" t="n"/>
    </row>
    <row r="20" ht="24" customHeight="1">
      <c r="A20" s="49" t="n"/>
      <c r="B20" s="60" t="inlineStr">
        <is>
          <t>VÉRIFICATION</t>
        </is>
      </c>
      <c r="C20" s="49" t="n"/>
      <c r="D20" s="49" t="n"/>
      <c r="E20" s="49" t="n"/>
      <c r="F20" s="49" t="n"/>
    </row>
    <row r="21" ht="22" customHeight="1">
      <c r="A21" s="49" t="n"/>
      <c r="B21" s="78" t="inlineStr">
        <is>
          <t>Fond configuré</t>
        </is>
      </c>
      <c r="C21" s="56" t="n"/>
      <c r="D21" s="56" t="n"/>
      <c r="E21" s="123">
        <f>E18</f>
        <v/>
      </c>
      <c r="F21" s="80" t="inlineStr"/>
    </row>
    <row r="22" ht="22" customHeight="1">
      <c r="A22" s="49" t="n"/>
      <c r="B22" s="78" t="inlineStr">
        <is>
          <t>Fond attendu</t>
        </is>
      </c>
      <c r="C22" s="56" t="n"/>
      <c r="D22" s="56" t="n"/>
      <c r="E22" s="123">
        <f>C6</f>
        <v/>
      </c>
      <c r="F22" s="80" t="inlineStr"/>
    </row>
    <row r="23" ht="22" customHeight="1">
      <c r="A23" s="49" t="n"/>
      <c r="B23" s="78" t="inlineStr">
        <is>
          <t>État des paramètres</t>
        </is>
      </c>
      <c r="C23" s="56" t="n"/>
      <c r="D23" s="56" t="n"/>
      <c r="E23" s="94">
        <f>IF(E18=C6,"PRÊT À UTILISER","METTRE À JOUR LES QUANTITÉS")</f>
        <v/>
      </c>
      <c r="F23" s="57" t="n"/>
    </row>
    <row r="24">
      <c r="A24" s="49" t="n"/>
      <c r="B24" s="49" t="n"/>
      <c r="C24" s="49" t="n"/>
      <c r="D24" s="49" t="n"/>
      <c r="E24" s="49" t="n"/>
      <c r="F24" s="49" t="n"/>
    </row>
    <row r="25" ht="54" customHeight="1">
      <c r="A25" s="49" t="n"/>
      <c r="B25" s="59" t="inlineStr">
        <is>
          <t>Répartition canadienne recommandée : 20 $×5, 10 $×6, 5 $×8, 2 $×10, 1 $×15, 25 ¢×40, 10 ¢×30 et 5 ¢×40. Le total est de 250,00 $ CA. Les pièces de 1 ¢ ne sont pas incluses. Modifiez la répartition selon les besoins de monnaie, mais assurez-vous que l’état indique « PRÊT À UTILISER ».</t>
        </is>
      </c>
      <c r="C25" s="49" t="n"/>
      <c r="D25" s="49" t="n"/>
      <c r="E25" s="49" t="n"/>
      <c r="F25" s="49" t="n"/>
    </row>
    <row r="26">
      <c r="A26" s="49" t="n"/>
      <c r="B26" s="49" t="n"/>
      <c r="C26" s="49" t="n"/>
      <c r="D26" s="49" t="n"/>
      <c r="E26" s="49" t="n"/>
      <c r="F26" s="49" t="n"/>
    </row>
  </sheetData>
  <mergeCells count="10">
    <mergeCell ref="B2:F2"/>
    <mergeCell ref="B20:F20"/>
    <mergeCell ref="B23:D23"/>
    <mergeCell ref="B22:D22"/>
    <mergeCell ref="B3:F3"/>
    <mergeCell ref="B5:F5"/>
    <mergeCell ref="B25:F26"/>
    <mergeCell ref="E23:F23"/>
    <mergeCell ref="B21:D21"/>
    <mergeCell ref="D6:F6"/>
  </mergeCells>
  <conditionalFormatting sqref="E23">
    <cfRule type="expression" priority="3" dxfId="0">
      <formula>$E$23="PRÊT À UTILISER"</formula>
    </cfRule>
    <cfRule type="expression" priority="4" dxfId="1">
      <formula>$E$23="METTRE À JOUR LES QUANTITÉS"</formula>
    </cfRule>
  </conditionalFormatting>
  <dataValidations count="2">
    <dataValidation sqref="D8:D17" showDropDown="0" showInputMessage="0" showErrorMessage="0" allowBlank="0" errorTitle="Nombres entiers seulement" error="Entrez un nombre entier de 0 à 9 999." type="whole" operator="between">
      <formula1>0</formula1>
      <formula2>9999</formula2>
    </dataValidation>
    <dataValidation sqref="C6" showDropDown="0" showInputMessage="0" showErrorMessage="0" allowBlank="0" errorTitle="Montant valide requis" error="Entrez un montant positif valide." type="decimal" operator="between">
      <formula1>0</formula1>
      <formula2>100000</formula2>
    </dataValidation>
  </dataValidations>
  <pageMargins left="0.25" right="0.25" top="0.45" bottom="0.45" header="0.2" footer="0.2"/>
  <pageSetup orientation="landscape" paperSize="1" fitToHeight="1" fitToWidth="1"/>
  <headerFooter>
    <oddHeader/>
    <oddFooter>&amp;CPage &amp;P of &amp;N&amp;RFermeture quotidienne de caisse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8" customWidth="1" min="3" max="3"/>
    <col width="17" customWidth="1" min="4" max="4"/>
    <col width="16" customWidth="1" min="5" max="5"/>
    <col width="16" customWidth="1" min="6" max="6"/>
    <col width="17" customWidth="1" min="7" max="7"/>
    <col width="18" customWidth="1" min="8" max="8"/>
    <col width="34" customWidth="1" min="9" max="9"/>
  </cols>
  <sheetData>
    <row r="1">
      <c r="A1" s="49" t="n"/>
      <c r="B1" s="49" t="n"/>
      <c r="C1" s="49" t="n"/>
      <c r="D1" s="49" t="n"/>
      <c r="E1" s="49" t="n"/>
      <c r="F1" s="49" t="n"/>
      <c r="G1" s="49" t="n"/>
      <c r="H1" s="49" t="n"/>
      <c r="I1" s="49" t="n"/>
    </row>
    <row r="2" ht="34" customHeight="1">
      <c r="A2" s="49" t="n"/>
      <c r="B2" s="50" t="inlineStr">
        <is>
          <t>Journal de caisse canadien</t>
        </is>
      </c>
      <c r="C2" s="49" t="n"/>
      <c r="D2" s="49" t="n"/>
      <c r="E2" s="49" t="n"/>
      <c r="F2" s="49" t="n"/>
      <c r="G2" s="49" t="n"/>
      <c r="H2" s="49" t="n"/>
      <c r="I2" s="49" t="n"/>
    </row>
    <row r="3" ht="26" customHeight="1">
      <c r="A3" s="49" t="n"/>
      <c r="B3" s="51" t="inlineStr">
        <is>
          <t>Registre quotidien facultatif : après la fermeture, copiez les montants du résumé de la feuille Fermeture de caisse dans la prochaine ligne vide. Tous les montants sont en dollars canadiens (CAD).</t>
        </is>
      </c>
      <c r="C3" s="49" t="n"/>
      <c r="D3" s="49" t="n"/>
      <c r="E3" s="49" t="n"/>
      <c r="F3" s="49" t="n"/>
      <c r="G3" s="49" t="n"/>
      <c r="H3" s="49" t="n"/>
      <c r="I3" s="49" t="n"/>
    </row>
    <row r="4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</row>
    <row r="5" ht="30" customHeight="1">
      <c r="A5" s="49" t="n"/>
      <c r="B5" s="59" t="inlineStr">
        <is>
          <t>Astuce : « Net au coffre » est positif lorsqu’un dépôt est fait au coffre-fort et négatif lorsqu’il faut prendre de l’argent du coffre-fort. Utilisez le tableau de coupures de la feuille Fermeture de caisse pour les billets et les pièces.</t>
        </is>
      </c>
      <c r="C5" s="49" t="n"/>
      <c r="D5" s="49" t="n"/>
      <c r="E5" s="49" t="n"/>
      <c r="F5" s="49" t="n"/>
      <c r="G5" s="49" t="n"/>
      <c r="H5" s="49" t="n"/>
      <c r="I5" s="49" t="n"/>
    </row>
    <row r="6">
      <c r="A6" s="49" t="n"/>
      <c r="B6" s="49" t="n"/>
      <c r="C6" s="49" t="n"/>
      <c r="D6" s="49" t="n"/>
      <c r="E6" s="49" t="n"/>
      <c r="F6" s="49" t="n"/>
      <c r="G6" s="49" t="n"/>
      <c r="H6" s="49" t="n"/>
      <c r="I6" s="49" t="n"/>
    </row>
    <row r="7" ht="33" customHeight="1">
      <c r="A7" s="49" t="n"/>
      <c r="B7" s="95" t="inlineStr">
        <is>
          <t>Date</t>
        </is>
      </c>
      <c r="C7" s="95" t="inlineStr">
        <is>
          <t>Employé(e) / initiales</t>
        </is>
      </c>
      <c r="D7" s="95" t="inlineStr">
        <is>
          <t>Argent compté</t>
        </is>
      </c>
      <c r="E7" s="95" t="inlineStr">
        <is>
          <t>Fond laissé</t>
        </is>
      </c>
      <c r="F7" s="95" t="inlineStr">
        <is>
          <t>Au coffre</t>
        </is>
      </c>
      <c r="G7" s="95" t="inlineStr">
        <is>
          <t>Du coffre</t>
        </is>
      </c>
      <c r="H7" s="95" t="inlineStr">
        <is>
          <t>Net au coffre</t>
        </is>
      </c>
      <c r="I7" s="95" t="inlineStr">
        <is>
          <t>Notes</t>
        </is>
      </c>
    </row>
    <row r="8" ht="20" customHeight="1">
      <c r="A8" s="49" t="n"/>
      <c r="B8" s="96" t="n"/>
      <c r="C8" s="97" t="n"/>
      <c r="D8" s="124" t="n"/>
      <c r="E8" s="124" t="n"/>
      <c r="F8" s="124" t="n"/>
      <c r="G8" s="124" t="n"/>
      <c r="H8" s="124" t="n"/>
      <c r="I8" s="88" t="n"/>
    </row>
    <row r="9" ht="20" customHeight="1">
      <c r="A9" s="49" t="n"/>
      <c r="B9" s="96" t="n"/>
      <c r="C9" s="97" t="n"/>
      <c r="D9" s="124" t="n"/>
      <c r="E9" s="124" t="n"/>
      <c r="F9" s="124" t="n"/>
      <c r="G9" s="124" t="n"/>
      <c r="H9" s="124" t="n"/>
      <c r="I9" s="88" t="n"/>
    </row>
    <row r="10" ht="20" customHeight="1">
      <c r="A10" s="49" t="n"/>
      <c r="B10" s="96" t="n"/>
      <c r="C10" s="97" t="n"/>
      <c r="D10" s="124" t="n"/>
      <c r="E10" s="124" t="n"/>
      <c r="F10" s="124" t="n"/>
      <c r="G10" s="124" t="n"/>
      <c r="H10" s="124" t="n"/>
      <c r="I10" s="88" t="n"/>
    </row>
    <row r="11" ht="20" customHeight="1">
      <c r="A11" s="49" t="n"/>
      <c r="B11" s="96" t="n"/>
      <c r="C11" s="97" t="n"/>
      <c r="D11" s="124" t="n"/>
      <c r="E11" s="124" t="n"/>
      <c r="F11" s="124" t="n"/>
      <c r="G11" s="124" t="n"/>
      <c r="H11" s="124" t="n"/>
      <c r="I11" s="88" t="n"/>
    </row>
    <row r="12" ht="20" customHeight="1">
      <c r="A12" s="49" t="n"/>
      <c r="B12" s="96" t="n"/>
      <c r="C12" s="97" t="n"/>
      <c r="D12" s="124" t="n"/>
      <c r="E12" s="124" t="n"/>
      <c r="F12" s="124" t="n"/>
      <c r="G12" s="124" t="n"/>
      <c r="H12" s="124" t="n"/>
      <c r="I12" s="88" t="n"/>
    </row>
    <row r="13" ht="20" customHeight="1">
      <c r="A13" s="49" t="n"/>
      <c r="B13" s="96" t="n"/>
      <c r="C13" s="97" t="n"/>
      <c r="D13" s="124" t="n"/>
      <c r="E13" s="124" t="n"/>
      <c r="F13" s="124" t="n"/>
      <c r="G13" s="124" t="n"/>
      <c r="H13" s="124" t="n"/>
      <c r="I13" s="88" t="n"/>
    </row>
    <row r="14" ht="20" customHeight="1">
      <c r="A14" s="49" t="n"/>
      <c r="B14" s="96" t="n"/>
      <c r="C14" s="97" t="n"/>
      <c r="D14" s="124" t="n"/>
      <c r="E14" s="124" t="n"/>
      <c r="F14" s="124" t="n"/>
      <c r="G14" s="124" t="n"/>
      <c r="H14" s="124" t="n"/>
      <c r="I14" s="88" t="n"/>
    </row>
    <row r="15" ht="20" customHeight="1">
      <c r="A15" s="49" t="n"/>
      <c r="B15" s="96" t="n"/>
      <c r="C15" s="97" t="n"/>
      <c r="D15" s="124" t="n"/>
      <c r="E15" s="124" t="n"/>
      <c r="F15" s="124" t="n"/>
      <c r="G15" s="124" t="n"/>
      <c r="H15" s="124" t="n"/>
      <c r="I15" s="88" t="n"/>
    </row>
    <row r="16" ht="20" customHeight="1">
      <c r="A16" s="49" t="n"/>
      <c r="B16" s="96" t="n"/>
      <c r="C16" s="97" t="n"/>
      <c r="D16" s="124" t="n"/>
      <c r="E16" s="124" t="n"/>
      <c r="F16" s="124" t="n"/>
      <c r="G16" s="124" t="n"/>
      <c r="H16" s="124" t="n"/>
      <c r="I16" s="88" t="n"/>
    </row>
    <row r="17" ht="20" customHeight="1">
      <c r="A17" s="49" t="n"/>
      <c r="B17" s="96" t="n"/>
      <c r="C17" s="97" t="n"/>
      <c r="D17" s="124" t="n"/>
      <c r="E17" s="124" t="n"/>
      <c r="F17" s="124" t="n"/>
      <c r="G17" s="124" t="n"/>
      <c r="H17" s="124" t="n"/>
      <c r="I17" s="88" t="n"/>
    </row>
    <row r="18" ht="20" customHeight="1">
      <c r="A18" s="49" t="n"/>
      <c r="B18" s="96" t="n"/>
      <c r="C18" s="97" t="n"/>
      <c r="D18" s="124" t="n"/>
      <c r="E18" s="124" t="n"/>
      <c r="F18" s="124" t="n"/>
      <c r="G18" s="124" t="n"/>
      <c r="H18" s="124" t="n"/>
      <c r="I18" s="88" t="n"/>
    </row>
    <row r="19" ht="20" customHeight="1">
      <c r="A19" s="49" t="n"/>
      <c r="B19" s="96" t="n"/>
      <c r="C19" s="97" t="n"/>
      <c r="D19" s="124" t="n"/>
      <c r="E19" s="124" t="n"/>
      <c r="F19" s="124" t="n"/>
      <c r="G19" s="124" t="n"/>
      <c r="H19" s="124" t="n"/>
      <c r="I19" s="88" t="n"/>
    </row>
    <row r="20" ht="20" customHeight="1">
      <c r="A20" s="49" t="n"/>
      <c r="B20" s="96" t="n"/>
      <c r="C20" s="97" t="n"/>
      <c r="D20" s="124" t="n"/>
      <c r="E20" s="124" t="n"/>
      <c r="F20" s="124" t="n"/>
      <c r="G20" s="124" t="n"/>
      <c r="H20" s="124" t="n"/>
      <c r="I20" s="88" t="n"/>
    </row>
    <row r="21" ht="20" customHeight="1">
      <c r="A21" s="49" t="n"/>
      <c r="B21" s="96" t="n"/>
      <c r="C21" s="97" t="n"/>
      <c r="D21" s="124" t="n"/>
      <c r="E21" s="124" t="n"/>
      <c r="F21" s="124" t="n"/>
      <c r="G21" s="124" t="n"/>
      <c r="H21" s="124" t="n"/>
      <c r="I21" s="88" t="n"/>
    </row>
    <row r="22" ht="20" customHeight="1">
      <c r="A22" s="49" t="n"/>
      <c r="B22" s="96" t="n"/>
      <c r="C22" s="97" t="n"/>
      <c r="D22" s="124" t="n"/>
      <c r="E22" s="124" t="n"/>
      <c r="F22" s="124" t="n"/>
      <c r="G22" s="124" t="n"/>
      <c r="H22" s="124" t="n"/>
      <c r="I22" s="88" t="n"/>
    </row>
    <row r="23" ht="20" customHeight="1">
      <c r="A23" s="49" t="n"/>
      <c r="B23" s="96" t="n"/>
      <c r="C23" s="97" t="n"/>
      <c r="D23" s="124" t="n"/>
      <c r="E23" s="124" t="n"/>
      <c r="F23" s="124" t="n"/>
      <c r="G23" s="124" t="n"/>
      <c r="H23" s="124" t="n"/>
      <c r="I23" s="88" t="n"/>
    </row>
    <row r="24" ht="20" customHeight="1">
      <c r="A24" s="49" t="n"/>
      <c r="B24" s="96" t="n"/>
      <c r="C24" s="97" t="n"/>
      <c r="D24" s="124" t="n"/>
      <c r="E24" s="124" t="n"/>
      <c r="F24" s="124" t="n"/>
      <c r="G24" s="124" t="n"/>
      <c r="H24" s="124" t="n"/>
      <c r="I24" s="88" t="n"/>
    </row>
    <row r="25" ht="20" customHeight="1">
      <c r="A25" s="49" t="n"/>
      <c r="B25" s="96" t="n"/>
      <c r="C25" s="97" t="n"/>
      <c r="D25" s="124" t="n"/>
      <c r="E25" s="124" t="n"/>
      <c r="F25" s="124" t="n"/>
      <c r="G25" s="124" t="n"/>
      <c r="H25" s="124" t="n"/>
      <c r="I25" s="88" t="n"/>
    </row>
    <row r="26" ht="20" customHeight="1">
      <c r="A26" s="49" t="n"/>
      <c r="B26" s="96" t="n"/>
      <c r="C26" s="97" t="n"/>
      <c r="D26" s="124" t="n"/>
      <c r="E26" s="124" t="n"/>
      <c r="F26" s="124" t="n"/>
      <c r="G26" s="124" t="n"/>
      <c r="H26" s="124" t="n"/>
      <c r="I26" s="88" t="n"/>
    </row>
    <row r="27" ht="20" customHeight="1">
      <c r="A27" s="49" t="n"/>
      <c r="B27" s="96" t="n"/>
      <c r="C27" s="97" t="n"/>
      <c r="D27" s="124" t="n"/>
      <c r="E27" s="124" t="n"/>
      <c r="F27" s="124" t="n"/>
      <c r="G27" s="124" t="n"/>
      <c r="H27" s="124" t="n"/>
      <c r="I27" s="88" t="n"/>
    </row>
    <row r="28" ht="20" customHeight="1">
      <c r="A28" s="49" t="n"/>
      <c r="B28" s="96" t="n"/>
      <c r="C28" s="97" t="n"/>
      <c r="D28" s="124" t="n"/>
      <c r="E28" s="124" t="n"/>
      <c r="F28" s="124" t="n"/>
      <c r="G28" s="124" t="n"/>
      <c r="H28" s="124" t="n"/>
      <c r="I28" s="88" t="n"/>
    </row>
    <row r="29" ht="20" customHeight="1">
      <c r="A29" s="49" t="n"/>
      <c r="B29" s="96" t="n"/>
      <c r="C29" s="97" t="n"/>
      <c r="D29" s="124" t="n"/>
      <c r="E29" s="124" t="n"/>
      <c r="F29" s="124" t="n"/>
      <c r="G29" s="124" t="n"/>
      <c r="H29" s="124" t="n"/>
      <c r="I29" s="88" t="n"/>
    </row>
    <row r="30" ht="20" customHeight="1">
      <c r="A30" s="49" t="n"/>
      <c r="B30" s="96" t="n"/>
      <c r="C30" s="97" t="n"/>
      <c r="D30" s="124" t="n"/>
      <c r="E30" s="124" t="n"/>
      <c r="F30" s="124" t="n"/>
      <c r="G30" s="124" t="n"/>
      <c r="H30" s="124" t="n"/>
      <c r="I30" s="88" t="n"/>
    </row>
    <row r="31" ht="20" customHeight="1">
      <c r="A31" s="49" t="n"/>
      <c r="B31" s="96" t="n"/>
      <c r="C31" s="97" t="n"/>
      <c r="D31" s="124" t="n"/>
      <c r="E31" s="124" t="n"/>
      <c r="F31" s="124" t="n"/>
      <c r="G31" s="124" t="n"/>
      <c r="H31" s="124" t="n"/>
      <c r="I31" s="88" t="n"/>
    </row>
    <row r="32" ht="20" customHeight="1">
      <c r="A32" s="49" t="n"/>
      <c r="B32" s="96" t="n"/>
      <c r="C32" s="97" t="n"/>
      <c r="D32" s="124" t="n"/>
      <c r="E32" s="124" t="n"/>
      <c r="F32" s="124" t="n"/>
      <c r="G32" s="124" t="n"/>
      <c r="H32" s="124" t="n"/>
      <c r="I32" s="88" t="n"/>
    </row>
    <row r="33" ht="20" customHeight="1">
      <c r="A33" s="49" t="n"/>
      <c r="B33" s="96" t="n"/>
      <c r="C33" s="97" t="n"/>
      <c r="D33" s="124" t="n"/>
      <c r="E33" s="124" t="n"/>
      <c r="F33" s="124" t="n"/>
      <c r="G33" s="124" t="n"/>
      <c r="H33" s="124" t="n"/>
      <c r="I33" s="88" t="n"/>
    </row>
    <row r="34" ht="20" customHeight="1">
      <c r="A34" s="49" t="n"/>
      <c r="B34" s="96" t="n"/>
      <c r="C34" s="97" t="n"/>
      <c r="D34" s="124" t="n"/>
      <c r="E34" s="124" t="n"/>
      <c r="F34" s="124" t="n"/>
      <c r="G34" s="124" t="n"/>
      <c r="H34" s="124" t="n"/>
      <c r="I34" s="88" t="n"/>
    </row>
    <row r="35" ht="20" customHeight="1">
      <c r="A35" s="49" t="n"/>
      <c r="B35" s="96" t="n"/>
      <c r="C35" s="97" t="n"/>
      <c r="D35" s="124" t="n"/>
      <c r="E35" s="124" t="n"/>
      <c r="F35" s="124" t="n"/>
      <c r="G35" s="124" t="n"/>
      <c r="H35" s="124" t="n"/>
      <c r="I35" s="88" t="n"/>
    </row>
    <row r="36" ht="20" customHeight="1">
      <c r="A36" s="49" t="n"/>
      <c r="B36" s="96" t="n"/>
      <c r="C36" s="97" t="n"/>
      <c r="D36" s="124" t="n"/>
      <c r="E36" s="124" t="n"/>
      <c r="F36" s="124" t="n"/>
      <c r="G36" s="124" t="n"/>
      <c r="H36" s="124" t="n"/>
      <c r="I36" s="88" t="n"/>
    </row>
    <row r="37" ht="20" customHeight="1">
      <c r="A37" s="49" t="n"/>
      <c r="B37" s="96" t="n"/>
      <c r="C37" s="97" t="n"/>
      <c r="D37" s="124" t="n"/>
      <c r="E37" s="124" t="n"/>
      <c r="F37" s="124" t="n"/>
      <c r="G37" s="124" t="n"/>
      <c r="H37" s="124" t="n"/>
      <c r="I37" s="88" t="n"/>
    </row>
  </sheetData>
  <autoFilter ref="B7:I37"/>
  <mergeCells count="3">
    <mergeCell ref="B3:I3"/>
    <mergeCell ref="B5:I5"/>
    <mergeCell ref="B2:I2"/>
  </mergeCells>
  <dataValidations count="2">
    <dataValidation sqref="B8:B37" showDropDown="0" showInputMessage="0" showErrorMessage="0" allowBlank="1" errorTitle="Date valide requise" error="Entrez une date valide." type="date" operator="between">
      <formula1>DATE(2020,1,1)</formula1>
      <formula2>DATE(2100,12,31)</formula2>
    </dataValidation>
    <dataValidation sqref="D8:H37" showDropDown="0" showInputMessage="0" showErrorMessage="0" allowBlank="1" errorTitle="Montant valide requis" error="Entrez un montant valide." type="decimal" operator="between">
      <formula1>-100000</formula1>
      <formula2>100000</formula2>
    </dataValidation>
  </dataValidations>
  <pageMargins left="0.25" right="0.25" top="0.45" bottom="0.45" header="0.2" footer="0.2"/>
  <pageSetup orientation="landscape" paperSize="1" fitToHeight="1" fitToWidth="1"/>
  <headerFooter>
    <oddHeader/>
    <oddFooter>&amp;CPage &amp;P of &amp;N&amp;RFermeture quotidienne de caisse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Manus</dc:creator>
  <dc:title xmlns:dc="http://purl.org/dc/elements/1.1/">Fermeture quotidienne de caisse canadienne</dc:title>
  <dc:description xmlns:dc="http://purl.org/dc/elements/1.1/">Classeur entièrement modifiable pour le compte de caisse canadien; pièces de 1 ¢ exclues.</dc:description>
  <dc:subject xmlns:dc="http://purl.org/dc/elements/1.1/">Feuille canadienne de compte de caisse, dépôt au coffre-fort et fond de caisse configuré</dc:subject>
  <dcterms:created xmlns:dcterms="http://purl.org/dc/terms/" xmlns:xsi="http://www.w3.org/2001/XMLSchema-instance" xsi:type="dcterms:W3CDTF">2026-10-23T00:02:36Z</dcterms:created>
  <dcterms:modified xmlns:dcterms="http://purl.org/dc/terms/" xmlns:xsi="http://www.w3.org/2001/XMLSchema-instance" xsi:type="dcterms:W3CDTF">2026-10-23T00:07:49Z</dcterms:modified>
</cp:coreProperties>
</file>