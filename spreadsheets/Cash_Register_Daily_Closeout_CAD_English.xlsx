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Cash Count" sheetId="1" state="visible" r:id="rId1"/>
    <sheet xmlns:r="http://schemas.openxmlformats.org/officeDocument/2006/relationships" name="Manager Setup" sheetId="2" state="visible" r:id="rId2"/>
    <sheet xmlns:r="http://schemas.openxmlformats.org/officeDocument/2006/relationships" name="Cash Count Log" sheetId="3" state="visible" r:id="rId3"/>
  </sheets>
  <definedNames>
    <definedName name="_xlnm.Print_Area" localSheetId="0">'Daily Cash Count'!$B$2:$L$30</definedName>
    <definedName name="_xlnm.Print_Area" localSheetId="1">'Manager Setup'!$B$2:$F$26</definedName>
    <definedName name="_xlnm._FilterDatabase" localSheetId="2" hidden="1">'Cash Count Log'!$B$7:$I$37</definedName>
    <definedName name="_xlnm.Print_Area" localSheetId="2">'Cash Count Log'!$B$2:$I$37</definedName>
  </definedNames>
  <calcPr calcId="124519" calcMode="auto" fullCalcOnLoad="1" forceFullCalc="1"/>
</workbook>
</file>

<file path=xl/styles.xml><?xml version="1.0" encoding="utf-8"?>
<styleSheet xmlns="http://schemas.openxmlformats.org/spreadsheetml/2006/main">
  <numFmts count="4">
    <numFmt numFmtId="164" formatCode="m/d/yyyy"/>
    <numFmt numFmtId="165" formatCode="$#,##0.00;[Red]($#,##0.00);-"/>
    <numFmt numFmtId="166" formatCode="#,##0;[Red](#,##0);0"/>
    <numFmt numFmtId="167" formatCode="&quot;C$&quot;#,##0.00;[Red](&quot;C$&quot;#,##0.00);-"/>
  </numFmts>
  <fonts count="10">
    <font>
      <name val="Calibri"/>
      <family val="2"/>
      <color theme="1"/>
      <sz val="11"/>
      <scheme val="minor"/>
    </font>
    <font>
      <name val="Georgia"/>
      <b val="1"/>
      <color rgb="001F4E79"/>
      <sz val="21"/>
    </font>
    <font>
      <name val="Calibri"/>
      <i val="1"/>
      <color rgb="00666666"/>
      <sz val="11"/>
    </font>
    <font>
      <name val="Calibri"/>
      <b val="1"/>
      <color rgb="00000000"/>
      <sz val="11"/>
    </font>
    <font>
      <name val="Calibri"/>
      <color rgb="00000000"/>
      <sz val="11"/>
    </font>
    <font>
      <name val="Calibri"/>
      <i val="1"/>
      <color rgb="00666666"/>
      <sz val="10"/>
    </font>
    <font>
      <name val="Georgia"/>
      <b val="1"/>
      <color rgb="001F4E79"/>
      <sz val="13"/>
    </font>
    <font>
      <name val="Georgia"/>
      <b val="1"/>
      <color rgb="00FFFFFF"/>
      <sz val="10"/>
    </font>
    <font>
      <name val="Calibri"/>
      <color rgb="00000000"/>
      <sz val="10"/>
    </font>
    <font>
      <name val="Calibri"/>
      <b val="1"/>
      <sz val="11"/>
    </font>
  </fonts>
  <fills count="12">
    <fill>
      <patternFill/>
    </fill>
    <fill>
      <patternFill patternType="gray125"/>
    </fill>
    <fill>
      <patternFill patternType="solid">
        <fgColor rgb="00D6E3F0"/>
      </patternFill>
    </fill>
    <fill>
      <patternFill patternType="solid">
        <fgColor rgb="00FFFDE7"/>
      </patternFill>
    </fill>
    <fill>
      <patternFill patternType="solid">
        <fgColor rgb="00FFF3E0"/>
      </patternFill>
    </fill>
    <fill>
      <patternFill patternType="solid">
        <fgColor rgb="001F4E79"/>
      </patternFill>
    </fill>
    <fill>
      <patternFill patternType="solid">
        <fgColor rgb="00F4F8FB"/>
      </patternFill>
    </fill>
    <fill>
      <patternFill patternType="solid">
        <fgColor rgb="00E2F0D9"/>
      </patternFill>
    </fill>
    <fill>
      <patternFill patternType="solid">
        <fgColor rgb="00FCE4D6"/>
      </patternFill>
    </fill>
    <fill>
      <patternFill patternType="solid">
        <fgColor rgb="00FFFFFF"/>
      </patternFill>
    </fill>
    <fill>
      <patternFill patternType="solid">
        <fgColor rgb="00E8F5E9"/>
      </patternFill>
    </fill>
    <fill>
      <patternFill patternType="solid">
        <fgColor rgb="00FFF9C4"/>
      </patternFill>
    </fill>
  </fills>
  <borders count="15">
    <border>
      <left/>
      <right/>
      <top/>
      <bottom/>
      <diagonal/>
    </border>
    <border>
      <left style="thin">
        <color rgb="00C9D2D9"/>
      </left>
      <right style="thin">
        <color rgb="00C9D2D9"/>
      </right>
      <top style="thin">
        <color rgb="00C9D2D9"/>
      </top>
      <bottom style="thin">
        <color rgb="00C9D2D9"/>
      </bottom>
    </border>
    <border>
      <left/>
      <right/>
      <top style="thin">
        <color rgb="00C9D2D9"/>
      </top>
      <bottom style="thin">
        <color rgb="00C9D2D9"/>
      </bottom>
    </border>
    <border>
      <left style="thin">
        <color rgb="00C9D2D9"/>
      </left>
      <right/>
      <top style="thin">
        <color rgb="00C9D2D9"/>
      </top>
      <bottom style="thin">
        <color rgb="00C9D2D9"/>
      </bottom>
    </border>
    <border>
      <left/>
      <right style="thin">
        <color rgb="00C9D2D9"/>
      </right>
      <top style="thin">
        <color rgb="00C9D2D9"/>
      </top>
      <bottom style="thin">
        <color rgb="00C9D2D9"/>
      </bottom>
    </border>
    <border>
      <left style="thin">
        <color rgb="00C9D2D9"/>
      </left>
      <right/>
      <top style="thin">
        <color rgb="00C9D2D9"/>
      </top>
      <bottom style="medium">
        <color rgb="001F4E79"/>
      </bottom>
    </border>
    <border>
      <left/>
      <right/>
      <top style="thin">
        <color rgb="00C9D2D9"/>
      </top>
      <bottom style="medium">
        <color rgb="001F4E79"/>
      </bottom>
    </border>
    <border>
      <left/>
      <right style="thin">
        <color rgb="00C9D2D9"/>
      </right>
      <top style="thin">
        <color rgb="00C9D2D9"/>
      </top>
      <bottom style="medium">
        <color rgb="001F4E79"/>
      </bottom>
    </border>
    <border>
      <left style="thin">
        <color rgb="00C9D2D9"/>
      </left>
      <right/>
      <top style="medium">
        <color rgb="001F4E79"/>
      </top>
      <bottom style="thin">
        <color rgb="00C9D2D9"/>
      </bottom>
    </border>
    <border>
      <left/>
      <right/>
      <top style="medium">
        <color rgb="001F4E79"/>
      </top>
      <bottom style="thin">
        <color rgb="00C9D2D9"/>
      </bottom>
    </border>
    <border>
      <left/>
      <right style="thin">
        <color rgb="00C9D2D9"/>
      </right>
      <top style="medium">
        <color rgb="001F4E79"/>
      </top>
      <bottom style="thin">
        <color rgb="00C9D2D9"/>
      </bottom>
    </border>
    <border>
      <left/>
      <right/>
      <top style="thin">
        <color rgb="00C9D2D9"/>
      </top>
      <bottom/>
      <diagonal/>
    </border>
    <border>
      <left/>
      <right style="thin">
        <color rgb="00C9D2D9"/>
      </right>
      <top style="thin">
        <color rgb="00C9D2D9"/>
      </top>
      <bottom/>
      <diagonal/>
    </border>
    <border>
      <left/>
      <right/>
      <top style="thin">
        <color rgb="00C9D2D9"/>
      </top>
      <bottom style="thin">
        <color rgb="00C9D2D9"/>
      </bottom>
      <diagonal/>
    </border>
    <border>
      <left/>
      <right style="thin">
        <color rgb="00C9D2D9"/>
      </right>
      <top style="thin">
        <color rgb="00C9D2D9"/>
      </top>
      <bottom style="thin">
        <color rgb="00C9D2D9"/>
      </bottom>
      <diagonal/>
    </border>
  </borders>
  <cellStyleXfs count="1">
    <xf numFmtId="0" fontId="0" fillId="0" borderId="0"/>
  </cellStyleXfs>
  <cellXfs count="1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left" vertical="center" indent="1"/>
    </xf>
    <xf numFmtId="164" fontId="4" fillId="3" borderId="1" applyAlignment="1" applyProtection="1" pivotButton="0" quotePrefix="0" xfId="0">
      <alignment horizontal="center" vertical="center"/>
      <protection locked="0" hidden="0"/>
    </xf>
    <xf numFmtId="0" fontId="0" fillId="0" borderId="2" pivotButton="0" quotePrefix="0" xfId="0"/>
    <xf numFmtId="0" fontId="4" fillId="3" borderId="3" applyAlignment="1" applyProtection="1" pivotButton="0" quotePrefix="0" xfId="0">
      <alignment horizontal="left" vertical="center" indent="1"/>
      <protection locked="0" hidden="0"/>
    </xf>
    <xf numFmtId="0" fontId="0" fillId="0" borderId="4" pivotButton="0" quotePrefix="0" xfId="0"/>
    <xf numFmtId="0" fontId="3" fillId="4" borderId="3" applyAlignment="1" pivotButton="0" quotePrefix="0" xfId="0">
      <alignment horizontal="center" vertical="center"/>
    </xf>
    <xf numFmtId="0" fontId="0" fillId="0" borderId="1" pivotButton="0" quotePrefix="0" xfId="0"/>
    <xf numFmtId="0" fontId="5" fillId="0" borderId="0" applyAlignment="1" pivotButton="0" quotePrefix="0" xfId="0">
      <alignment horizontal="left" vertical="center" wrapText="1" indent="1"/>
    </xf>
    <xf numFmtId="0" fontId="6" fillId="2" borderId="0" applyAlignment="1" pivotButton="0" quotePrefix="0" xfId="0">
      <alignment horizontal="left" vertical="center" indent="1"/>
    </xf>
    <xf numFmtId="0" fontId="7" fillId="5" borderId="5" applyAlignment="1" pivotButton="0" quotePrefix="0" xfId="0">
      <alignment horizontal="center" vertical="center" wrapText="1"/>
    </xf>
    <xf numFmtId="0" fontId="7" fillId="5" borderId="6" applyAlignment="1" pivotButton="0" quotePrefix="0" xfId="0">
      <alignment horizontal="center" vertical="center" wrapText="1"/>
    </xf>
    <xf numFmtId="0" fontId="7" fillId="5" borderId="7" applyAlignment="1" pivotButton="0" quotePrefix="0" xfId="0">
      <alignment horizontal="center" vertical="center" wrapText="1"/>
    </xf>
    <xf numFmtId="0" fontId="4" fillId="0" borderId="3" applyAlignment="1" pivotButton="0" quotePrefix="0" xfId="0">
      <alignment horizontal="left" vertical="center" indent="1"/>
    </xf>
    <xf numFmtId="165" fontId="4" fillId="0" borderId="2" applyAlignment="1" pivotButton="0" quotePrefix="0" xfId="0">
      <alignment horizontal="center" vertical="center"/>
    </xf>
    <xf numFmtId="166" fontId="4" fillId="3" borderId="2" applyAlignment="1" applyProtection="1" pivotButton="0" quotePrefix="0" xfId="0">
      <alignment horizontal="center" vertical="center"/>
      <protection locked="0" hidden="0"/>
    </xf>
    <xf numFmtId="165" fontId="4" fillId="0" borderId="2" applyAlignment="1" pivotButton="0" quotePrefix="0" xfId="0">
      <alignment horizontal="right" vertical="center"/>
    </xf>
    <xf numFmtId="166" fontId="4" fillId="6" borderId="2" applyAlignment="1" pivotButton="0" quotePrefix="0" xfId="0">
      <alignment horizontal="center" vertical="center"/>
    </xf>
    <xf numFmtId="166" fontId="4" fillId="7" borderId="2" applyAlignment="1" pivotButton="0" quotePrefix="0" xfId="0">
      <alignment horizontal="center" vertical="center"/>
    </xf>
    <xf numFmtId="165" fontId="4" fillId="7" borderId="2" applyAlignment="1" pivotButton="0" quotePrefix="0" xfId="0">
      <alignment horizontal="right" vertical="center"/>
    </xf>
    <xf numFmtId="166" fontId="4" fillId="8" borderId="2" applyAlignment="1" pivotButton="0" quotePrefix="0" xfId="0">
      <alignment horizontal="center" vertical="center"/>
    </xf>
    <xf numFmtId="165" fontId="4" fillId="8" borderId="2" applyAlignment="1" pivotButton="0" quotePrefix="0" xfId="0">
      <alignment horizontal="right" vertical="center"/>
    </xf>
    <xf numFmtId="165" fontId="4" fillId="6" borderId="4" applyAlignment="1" pivotButton="0" quotePrefix="0" xfId="0">
      <alignment horizontal="right" vertical="center"/>
    </xf>
    <xf numFmtId="0" fontId="3" fillId="2" borderId="8" applyAlignment="1" pivotButton="0" quotePrefix="0" xfId="0">
      <alignment horizontal="left" vertical="center" indent="1"/>
    </xf>
    <xf numFmtId="166" fontId="3" fillId="2" borderId="9" applyAlignment="1" pivotButton="0" quotePrefix="0" xfId="0">
      <alignment horizontal="right" vertical="center"/>
    </xf>
    <xf numFmtId="165" fontId="3" fillId="2" borderId="9" applyAlignment="1" pivotButton="0" quotePrefix="0" xfId="0">
      <alignment horizontal="right" vertical="center"/>
    </xf>
    <xf numFmtId="165" fontId="3" fillId="2" borderId="10" applyAlignment="1" pivotButton="0" quotePrefix="0" xfId="0">
      <alignment horizontal="right" vertical="center"/>
    </xf>
    <xf numFmtId="0" fontId="3" fillId="6" borderId="3" applyAlignment="1" pivotButton="0" quotePrefix="0" xfId="0">
      <alignment horizontal="left" vertical="center" indent="1"/>
    </xf>
    <xf numFmtId="165" fontId="3" fillId="9" borderId="2" applyAlignment="1" pivotButton="0" quotePrefix="0" xfId="0">
      <alignment horizontal="right" vertical="center"/>
    </xf>
    <xf numFmtId="0" fontId="8" fillId="6" borderId="3" applyAlignment="1" pivotButton="0" quotePrefix="0" xfId="0">
      <alignment horizontal="left" vertical="center" wrapText="1" indent="1"/>
    </xf>
    <xf numFmtId="165" fontId="3" fillId="10" borderId="2" applyAlignment="1" pivotButton="0" quotePrefix="0" xfId="0">
      <alignment horizontal="right" vertical="center"/>
    </xf>
    <xf numFmtId="0" fontId="5" fillId="0" borderId="0" applyAlignment="1" pivotButton="0" quotePrefix="0" xfId="0">
      <alignment horizontal="left" vertical="center" indent="1"/>
    </xf>
    <xf numFmtId="0" fontId="3" fillId="2" borderId="3" applyAlignment="1" pivotButton="0" quotePrefix="0" xfId="0">
      <alignment horizontal="left" vertical="center" indent="1"/>
    </xf>
    <xf numFmtId="165" fontId="9" fillId="11" borderId="2" applyAlignment="1" pivotButton="0" quotePrefix="0" xfId="0">
      <alignment horizontal="right" vertical="center"/>
    </xf>
    <xf numFmtId="0" fontId="5" fillId="0" borderId="2" applyAlignment="1" pivotButton="0" quotePrefix="0" xfId="0">
      <alignment horizontal="left" vertical="center" indent="1"/>
    </xf>
    <xf numFmtId="166" fontId="4" fillId="11" borderId="2" applyAlignment="1" pivotButton="0" quotePrefix="0" xfId="0">
      <alignment horizontal="center" vertical="center"/>
    </xf>
    <xf numFmtId="0" fontId="4" fillId="0" borderId="4" applyAlignment="1" pivotButton="0" quotePrefix="0" xfId="0">
      <alignment horizontal="left" vertical="center" indent="1"/>
    </xf>
    <xf numFmtId="0" fontId="9" fillId="2" borderId="8" applyAlignment="1" pivotButton="0" quotePrefix="0" xfId="0">
      <alignment horizontal="left" vertical="center" indent="1"/>
    </xf>
    <xf numFmtId="0" fontId="9" fillId="2" borderId="9" applyAlignment="1" pivotButton="0" quotePrefix="0" xfId="0">
      <alignment horizontal="right" vertical="center"/>
    </xf>
    <xf numFmtId="165" fontId="9" fillId="2" borderId="9" applyAlignment="1" pivotButton="0" quotePrefix="0" xfId="0">
      <alignment horizontal="right" vertical="center"/>
    </xf>
    <xf numFmtId="0" fontId="9" fillId="2" borderId="10" applyAlignment="1" pivotButton="0" quotePrefix="0" xfId="0">
      <alignment horizontal="right" vertical="center"/>
    </xf>
    <xf numFmtId="165" fontId="9" fillId="0" borderId="2" applyAlignment="1" pivotButton="0" quotePrefix="0" xfId="0">
      <alignment horizontal="right" vertical="center"/>
    </xf>
    <xf numFmtId="0" fontId="9" fillId="4" borderId="2" applyAlignment="1" pivotButton="0" quotePrefix="0" xfId="0">
      <alignment horizontal="center" vertical="center"/>
    </xf>
    <xf numFmtId="0" fontId="7" fillId="5" borderId="0" applyAlignment="1" pivotButton="0" quotePrefix="0" xfId="0">
      <alignment horizontal="center" vertical="center" wrapText="1"/>
    </xf>
    <xf numFmtId="164" fontId="4" fillId="3" borderId="3" applyAlignment="1" pivotButton="0" quotePrefix="0" xfId="0">
      <alignment horizontal="right" vertical="center"/>
    </xf>
    <xf numFmtId="0" fontId="4" fillId="0" borderId="2" applyAlignment="1" pivotButton="0" quotePrefix="0" xfId="0">
      <alignment horizontal="left" vertical="center" indent="1"/>
    </xf>
    <xf numFmtId="165" fontId="4" fillId="3" borderId="2" applyAlignment="1" pivotButton="0" quotePrefix="0" xfId="0">
      <alignment horizontal="right" vertical="center"/>
    </xf>
    <xf numFmtId="0" fontId="0" fillId="0" borderId="0" applyProtection="1" pivotButton="0" quotePrefix="0" xfId="0">
      <protection locked="0" hidden="0"/>
    </xf>
    <xf numFmtId="0" fontId="1"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vertical="center" wrapText="1"/>
      <protection locked="0" hidden="0"/>
    </xf>
    <xf numFmtId="0" fontId="3" fillId="2" borderId="1" applyAlignment="1" applyProtection="1" pivotButton="0" quotePrefix="0" xfId="0">
      <alignment horizontal="left" vertical="center" indent="1"/>
      <protection locked="0" hidden="0"/>
    </xf>
    <xf numFmtId="164" fontId="4" fillId="3" borderId="1" applyAlignment="1" applyProtection="1" pivotButton="0" quotePrefix="0" xfId="0">
      <alignment horizontal="center" vertical="center"/>
      <protection locked="0" hidden="0"/>
    </xf>
    <xf numFmtId="0" fontId="0" fillId="0" borderId="2" applyProtection="1" pivotButton="0" quotePrefix="0" xfId="0">
      <protection locked="0" hidden="0"/>
    </xf>
    <xf numFmtId="0" fontId="4" fillId="3" borderId="1" applyAlignment="1" applyProtection="1" pivotButton="0" quotePrefix="0" xfId="0">
      <alignment horizontal="left" vertical="center" inden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3" fillId="4" borderId="1"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6" fillId="2" borderId="0" applyAlignment="1" applyProtection="1" pivotButton="0" quotePrefix="0" xfId="0">
      <alignment horizontal="left" vertical="center" indent="1"/>
      <protection locked="0" hidden="0"/>
    </xf>
    <xf numFmtId="0" fontId="7" fillId="5" borderId="5" applyAlignment="1" applyProtection="1" pivotButton="0" quotePrefix="0" xfId="0">
      <alignment horizontal="center" vertical="center" wrapText="1"/>
      <protection locked="0" hidden="0"/>
    </xf>
    <xf numFmtId="0" fontId="7" fillId="5" borderId="6" applyAlignment="1" applyProtection="1" pivotButton="0" quotePrefix="0" xfId="0">
      <alignment horizontal="center" vertical="center" wrapText="1"/>
      <protection locked="0" hidden="0"/>
    </xf>
    <xf numFmtId="0" fontId="7" fillId="5" borderId="7" applyAlignment="1" applyProtection="1" pivotButton="0" quotePrefix="0" xfId="0">
      <alignment horizontal="center" vertical="center" wrapText="1"/>
      <protection locked="0" hidden="0"/>
    </xf>
    <xf numFmtId="0" fontId="4" fillId="0" borderId="3" applyAlignment="1" applyProtection="1" pivotButton="0" quotePrefix="0" xfId="0">
      <alignment horizontal="left" vertical="center" indent="1"/>
      <protection locked="0" hidden="0"/>
    </xf>
    <xf numFmtId="165" fontId="4" fillId="0" borderId="2" applyAlignment="1" applyProtection="1" pivotButton="0" quotePrefix="0" xfId="0">
      <alignment horizontal="center" vertical="center"/>
      <protection locked="0" hidden="0"/>
    </xf>
    <xf numFmtId="166" fontId="4" fillId="3" borderId="2" applyAlignment="1" applyProtection="1" pivotButton="0" quotePrefix="0" xfId="0">
      <alignment horizontal="center" vertical="center"/>
      <protection locked="0" hidden="0"/>
    </xf>
    <xf numFmtId="165" fontId="4" fillId="0" borderId="2" applyAlignment="1" applyProtection="1" pivotButton="0" quotePrefix="0" xfId="0">
      <alignment horizontal="right" vertical="center"/>
      <protection locked="0" hidden="0"/>
    </xf>
    <xf numFmtId="166" fontId="4" fillId="6" borderId="2" applyAlignment="1" applyProtection="1" pivotButton="0" quotePrefix="0" xfId="0">
      <alignment horizontal="center" vertical="center"/>
      <protection locked="0" hidden="0"/>
    </xf>
    <xf numFmtId="166" fontId="4" fillId="7" borderId="2" applyAlignment="1" applyProtection="1" pivotButton="0" quotePrefix="0" xfId="0">
      <alignment horizontal="center" vertical="center"/>
      <protection locked="0" hidden="0"/>
    </xf>
    <xf numFmtId="165" fontId="4" fillId="7" borderId="2" applyAlignment="1" applyProtection="1" pivotButton="0" quotePrefix="0" xfId="0">
      <alignment horizontal="right" vertical="center"/>
      <protection locked="0" hidden="0"/>
    </xf>
    <xf numFmtId="166" fontId="4" fillId="8" borderId="2" applyAlignment="1" applyProtection="1" pivotButton="0" quotePrefix="0" xfId="0">
      <alignment horizontal="center" vertical="center"/>
      <protection locked="0" hidden="0"/>
    </xf>
    <xf numFmtId="165" fontId="4" fillId="8" borderId="2" applyAlignment="1" applyProtection="1" pivotButton="0" quotePrefix="0" xfId="0">
      <alignment horizontal="right" vertical="center"/>
      <protection locked="0" hidden="0"/>
    </xf>
    <xf numFmtId="165" fontId="4" fillId="6" borderId="4" applyAlignment="1" applyProtection="1" pivotButton="0" quotePrefix="0" xfId="0">
      <alignment horizontal="right" vertical="center"/>
      <protection locked="0" hidden="0"/>
    </xf>
    <xf numFmtId="0" fontId="3" fillId="2" borderId="8" applyAlignment="1" applyProtection="1" pivotButton="0" quotePrefix="0" xfId="0">
      <alignment horizontal="left" vertical="center" indent="1"/>
      <protection locked="0" hidden="0"/>
    </xf>
    <xf numFmtId="166" fontId="3" fillId="2" borderId="9" applyAlignment="1" applyProtection="1" pivotButton="0" quotePrefix="0" xfId="0">
      <alignment horizontal="right" vertical="center"/>
      <protection locked="0" hidden="0"/>
    </xf>
    <xf numFmtId="165" fontId="3" fillId="2" borderId="9" applyAlignment="1" applyProtection="1" pivotButton="0" quotePrefix="0" xfId="0">
      <alignment horizontal="right" vertical="center"/>
      <protection locked="0" hidden="0"/>
    </xf>
    <xf numFmtId="165" fontId="3" fillId="2" borderId="10" applyAlignment="1" applyProtection="1" pivotButton="0" quotePrefix="0" xfId="0">
      <alignment horizontal="right" vertical="center"/>
      <protection locked="0" hidden="0"/>
    </xf>
    <xf numFmtId="0" fontId="3" fillId="6" borderId="3" applyAlignment="1" applyProtection="1" pivotButton="0" quotePrefix="0" xfId="0">
      <alignment horizontal="left" vertical="center" indent="1"/>
      <protection locked="0" hidden="0"/>
    </xf>
    <xf numFmtId="165" fontId="3" fillId="9" borderId="2" applyAlignment="1" applyProtection="1" pivotButton="0" quotePrefix="0" xfId="0">
      <alignment horizontal="right" vertical="center"/>
      <protection locked="0" hidden="0"/>
    </xf>
    <xf numFmtId="0" fontId="0" fillId="0" borderId="4" applyProtection="1" pivotButton="0" quotePrefix="0" xfId="0">
      <protection locked="0" hidden="0"/>
    </xf>
    <xf numFmtId="0" fontId="8" fillId="6" borderId="1" applyAlignment="1" applyProtection="1" pivotButton="0" quotePrefix="0" xfId="0">
      <alignment horizontal="left" vertical="center" wrapText="1" indent="1"/>
      <protection locked="0" hidden="0"/>
    </xf>
    <xf numFmtId="165" fontId="3" fillId="10" borderId="2" applyAlignment="1" applyProtection="1" pivotButton="0" quotePrefix="0" xfId="0">
      <alignment horizontal="right" vertical="center"/>
      <protection locked="0" hidden="0"/>
    </xf>
    <xf numFmtId="0" fontId="5" fillId="0" borderId="0" applyAlignment="1" applyProtection="1" pivotButton="0" quotePrefix="0" xfId="0">
      <alignment horizontal="left" vertical="center" indent="1"/>
      <protection locked="0" hidden="0"/>
    </xf>
    <xf numFmtId="0" fontId="3" fillId="2" borderId="3" applyAlignment="1" applyProtection="1" pivotButton="0" quotePrefix="0" xfId="0">
      <alignment horizontal="left" vertical="center" indent="1"/>
      <protection locked="0" hidden="0"/>
    </xf>
    <xf numFmtId="165" fontId="9" fillId="11" borderId="2" applyAlignment="1" applyProtection="1" pivotButton="0" quotePrefix="0" xfId="0">
      <alignment horizontal="right" vertical="center"/>
      <protection locked="0" hidden="0"/>
    </xf>
    <xf numFmtId="0" fontId="5" fillId="0" borderId="4" applyAlignment="1" applyProtection="1" pivotButton="0" quotePrefix="0" xfId="0">
      <alignment horizontal="left" vertical="center" indent="1"/>
      <protection locked="0" hidden="0"/>
    </xf>
    <xf numFmtId="166" fontId="4" fillId="11" borderId="2" applyAlignment="1" applyProtection="1" pivotButton="0" quotePrefix="0" xfId="0">
      <alignment horizontal="center" vertical="center"/>
      <protection locked="0" hidden="0"/>
    </xf>
    <xf numFmtId="0" fontId="4" fillId="0" borderId="4" applyAlignment="1" applyProtection="1" pivotButton="0" quotePrefix="0" xfId="0">
      <alignment horizontal="left" vertical="center" indent="1"/>
      <protection locked="0" hidden="0"/>
    </xf>
    <xf numFmtId="0" fontId="9" fillId="2" borderId="8" applyAlignment="1" applyProtection="1" pivotButton="0" quotePrefix="0" xfId="0">
      <alignment horizontal="left" vertical="center" indent="1"/>
      <protection locked="0" hidden="0"/>
    </xf>
    <xf numFmtId="0" fontId="9" fillId="2" borderId="9" applyAlignment="1" applyProtection="1" pivotButton="0" quotePrefix="0" xfId="0">
      <alignment horizontal="right" vertical="center"/>
      <protection locked="0" hidden="0"/>
    </xf>
    <xf numFmtId="165" fontId="9" fillId="2" borderId="9" applyAlignment="1" applyProtection="1" pivotButton="0" quotePrefix="0" xfId="0">
      <alignment horizontal="right" vertical="center"/>
      <protection locked="0" hidden="0"/>
    </xf>
    <xf numFmtId="0" fontId="9" fillId="2" borderId="10" applyAlignment="1" applyProtection="1" pivotButton="0" quotePrefix="0" xfId="0">
      <alignment horizontal="right" vertical="center"/>
      <protection locked="0" hidden="0"/>
    </xf>
    <xf numFmtId="165" fontId="9" fillId="0" borderId="2" applyAlignment="1" applyProtection="1" pivotButton="0" quotePrefix="0" xfId="0">
      <alignment horizontal="right" vertical="center"/>
      <protection locked="0" hidden="0"/>
    </xf>
    <xf numFmtId="0" fontId="9" fillId="4" borderId="4" applyAlignment="1" applyProtection="1" pivotButton="0" quotePrefix="0" xfId="0">
      <alignment horizontal="center" vertical="center"/>
      <protection locked="0" hidden="0"/>
    </xf>
    <xf numFmtId="0" fontId="7" fillId="5" borderId="0" applyAlignment="1" applyProtection="1" pivotButton="0" quotePrefix="0" xfId="0">
      <alignment horizontal="center" vertical="center" wrapText="1"/>
      <protection locked="0" hidden="0"/>
    </xf>
    <xf numFmtId="164" fontId="4" fillId="3" borderId="3" applyAlignment="1" applyProtection="1" pivotButton="0" quotePrefix="0" xfId="0">
      <alignment horizontal="right" vertical="center"/>
      <protection locked="0" hidden="0"/>
    </xf>
    <xf numFmtId="0" fontId="4" fillId="0" borderId="2" applyAlignment="1" applyProtection="1" pivotButton="0" quotePrefix="0" xfId="0">
      <alignment horizontal="left" vertical="center" indent="1"/>
      <protection locked="0" hidden="0"/>
    </xf>
    <xf numFmtId="165" fontId="4" fillId="3" borderId="2" applyAlignment="1" applyProtection="1" pivotButton="0" quotePrefix="0" xfId="0">
      <alignment horizontal="right" vertical="center"/>
      <protection locked="0" hidden="0"/>
    </xf>
    <xf numFmtId="167" fontId="4" fillId="0" borderId="2" applyAlignment="1" applyProtection="1" pivotButton="0" quotePrefix="0" xfId="0">
      <alignment horizontal="center" vertical="center"/>
      <protection locked="0" hidden="0"/>
    </xf>
    <xf numFmtId="167" fontId="4" fillId="0" borderId="2" applyAlignment="1" applyProtection="1" pivotButton="0" quotePrefix="0" xfId="0">
      <alignment horizontal="right" vertical="center"/>
      <protection locked="0" hidden="0"/>
    </xf>
    <xf numFmtId="167" fontId="4" fillId="7" borderId="2" applyAlignment="1" applyProtection="1" pivotButton="0" quotePrefix="0" xfId="0">
      <alignment horizontal="right" vertical="center"/>
      <protection locked="0" hidden="0"/>
    </xf>
    <xf numFmtId="167" fontId="4" fillId="8" borderId="2" applyAlignment="1" applyProtection="1" pivotButton="0" quotePrefix="0" xfId="0">
      <alignment horizontal="right" vertical="center"/>
      <protection locked="0" hidden="0"/>
    </xf>
    <xf numFmtId="167" fontId="4" fillId="6" borderId="4" applyAlignment="1" applyProtection="1" pivotButton="0" quotePrefix="0" xfId="0">
      <alignment horizontal="right" vertical="center"/>
      <protection locked="0" hidden="0"/>
    </xf>
    <xf numFmtId="167" fontId="3" fillId="2" borderId="9" applyAlignment="1" applyProtection="1" pivotButton="0" quotePrefix="0" xfId="0">
      <alignment horizontal="right" vertical="center"/>
      <protection locked="0" hidden="0"/>
    </xf>
    <xf numFmtId="167" fontId="3" fillId="2" borderId="10" applyAlignment="1" applyProtection="1" pivotButton="0" quotePrefix="0" xfId="0">
      <alignment horizontal="right" vertical="center"/>
      <protection locked="0" hidden="0"/>
    </xf>
    <xf numFmtId="167" fontId="3" fillId="9" borderId="2" applyAlignment="1" applyProtection="1" pivotButton="0" quotePrefix="0" xfId="0">
      <alignment horizontal="right" vertical="center"/>
      <protection locked="0" hidden="0"/>
    </xf>
    <xf numFmtId="167" fontId="3" fillId="10" borderId="2" applyAlignment="1" applyProtection="1" pivotButton="0" quotePrefix="0" xfId="0">
      <alignment horizontal="right" vertical="center"/>
      <protection locked="0" hidden="0"/>
    </xf>
    <xf numFmtId="167" fontId="9" fillId="11" borderId="2" applyAlignment="1" applyProtection="1" pivotButton="0" quotePrefix="0" xfId="0">
      <alignment horizontal="right" vertical="center"/>
      <protection locked="0" hidden="0"/>
    </xf>
    <xf numFmtId="167" fontId="9" fillId="2" borderId="9" applyAlignment="1" applyProtection="1" pivotButton="0" quotePrefix="0" xfId="0">
      <alignment horizontal="right" vertical="center"/>
      <protection locked="0" hidden="0"/>
    </xf>
    <xf numFmtId="167" fontId="9" fillId="0" borderId="2" applyAlignment="1" applyProtection="1" pivotButton="0" quotePrefix="0" xfId="0">
      <alignment horizontal="right" vertical="center"/>
      <protection locked="0" hidden="0"/>
    </xf>
    <xf numFmtId="167" fontId="4" fillId="3" borderId="2" applyAlignment="1" applyProtection="1" pivotButton="0" quotePrefix="0" xfId="0">
      <alignment horizontal="right" vertical="center"/>
      <protection locked="0" hidden="0"/>
    </xf>
  </cellXfs>
  <cellStyles count="1">
    <cellStyle name="Normal" xfId="0" builtinId="0" hidden="0"/>
  </cellStyles>
  <dxfs count="4">
    <dxf>
      <fill>
        <patternFill patternType="solid">
          <fgColor rgb="00E8F5E9"/>
        </patternFill>
      </fill>
    </dxf>
    <dxf>
      <fill>
        <patternFill patternType="solid">
          <fgColor rgb="00FFCCBC"/>
        </patternFill>
      </fill>
    </dxf>
    <dxf>
      <font>
        <b val="1"/>
        <color rgb="00C62828"/>
      </font>
      <fill>
        <patternFill patternType="solid">
          <fgColor rgb="00FCE4D6"/>
        </patternFill>
      </fill>
    </dxf>
    <dxf>
      <font>
        <b val="1"/>
        <color rgb="002E7D32"/>
      </font>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ashCountLog" displayName="CashCountLog" ref="B7:I37" headerRowCount="1">
  <autoFilter ref="B7:I37"/>
  <tableColumns count="8">
    <tableColumn id="2" name="Date"/>
    <tableColumn id="3" name="Employee / Initials"/>
    <tableColumn id="4" name="Cash Counted"/>
    <tableColumn id="5" name="Float Left"/>
    <tableColumn id="6" name="To Safe"/>
    <tableColumn id="7" name="From Safe"/>
    <tableColumn id="8" name="Net To Safe"/>
    <tableColumn id="9"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L30"/>
  <sheetViews>
    <sheetView showGridLines="0" workbookViewId="0">
      <pane xSplit="1" ySplit="8" topLeftCell="B9"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7" customWidth="1" min="2" max="2"/>
    <col width="10" customWidth="1" min="3" max="3"/>
    <col width="13" customWidth="1" min="4" max="4"/>
    <col width="13" customWidth="1" min="5" max="5"/>
    <col width="13" customWidth="1" min="6" max="6"/>
    <col width="14" customWidth="1" min="7" max="7"/>
    <col width="14" customWidth="1" min="8" max="8"/>
    <col width="14" customWidth="1" min="9" max="9"/>
    <col width="15" customWidth="1" min="10" max="10"/>
    <col width="13" customWidth="1" min="11" max="11"/>
    <col width="13" customWidth="1" min="12" max="12"/>
  </cols>
  <sheetData>
    <row r="1">
      <c r="A1" s="49" t="n"/>
      <c r="B1" s="49" t="n"/>
      <c r="C1" s="49" t="n"/>
      <c r="D1" s="49" t="n"/>
      <c r="E1" s="49" t="n"/>
      <c r="F1" s="49" t="n"/>
      <c r="G1" s="49" t="n"/>
      <c r="H1" s="49" t="n"/>
      <c r="I1" s="49" t="n"/>
      <c r="J1" s="49" t="n"/>
      <c r="K1" s="49" t="n"/>
      <c r="L1" s="49" t="n"/>
    </row>
    <row r="2" ht="34" customHeight="1">
      <c r="A2" s="49" t="n"/>
      <c r="B2" s="50" t="inlineStr">
        <is>
          <t>Canadian Cash Register Close-Out</t>
        </is>
      </c>
      <c r="C2" s="49" t="n"/>
      <c r="D2" s="49" t="n"/>
      <c r="E2" s="49" t="n"/>
      <c r="F2" s="49" t="n"/>
      <c r="G2" s="49" t="n"/>
      <c r="H2" s="49" t="n"/>
      <c r="I2" s="49" t="n"/>
      <c r="J2" s="49" t="n"/>
      <c r="K2" s="49" t="n"/>
      <c r="L2" s="49" t="n"/>
    </row>
    <row r="3" ht="34" customHeight="1">
      <c r="A3" s="49" t="n"/>
      <c r="B3" s="51" t="inlineStr">
        <is>
          <t>All amounts are in Canadian dollars (CAD). Enter the number of each bill and coin in the yellow cells; pennies are not included. Follow the green and orange columns so the register ends at the required float.</t>
        </is>
      </c>
      <c r="C3" s="49" t="n"/>
      <c r="D3" s="49" t="n"/>
      <c r="E3" s="49" t="n"/>
      <c r="F3" s="49" t="n"/>
      <c r="G3" s="49" t="n"/>
      <c r="H3" s="49" t="n"/>
      <c r="I3" s="49" t="n"/>
      <c r="J3" s="49" t="n"/>
      <c r="K3" s="49" t="n"/>
      <c r="L3" s="49" t="n"/>
    </row>
    <row r="4">
      <c r="A4" s="49" t="n"/>
      <c r="B4" s="49" t="n"/>
      <c r="C4" s="49" t="n"/>
      <c r="D4" s="49" t="n"/>
      <c r="E4" s="49" t="n"/>
      <c r="F4" s="49" t="n"/>
      <c r="G4" s="49" t="n"/>
      <c r="H4" s="49" t="n"/>
      <c r="I4" s="49" t="n"/>
      <c r="J4" s="49" t="n"/>
      <c r="K4" s="49" t="n"/>
      <c r="L4" s="49" t="n"/>
    </row>
    <row r="5" ht="24" customHeight="1">
      <c r="A5" s="49" t="n"/>
      <c r="B5" s="52" t="inlineStr">
        <is>
          <t>Date</t>
        </is>
      </c>
      <c r="C5" s="53" t="n">
        <v>46318</v>
      </c>
      <c r="D5" s="54" t="n"/>
      <c r="E5" s="52" t="inlineStr">
        <is>
          <t>Employee</t>
        </is>
      </c>
      <c r="F5" s="55" t="n"/>
      <c r="G5" s="56" t="n"/>
      <c r="H5" s="57" t="n"/>
      <c r="I5" s="52" t="inlineStr">
        <is>
          <t>Count Status</t>
        </is>
      </c>
      <c r="J5" s="58">
        <f>IF(COUNT(D9:D18)&lt;COUNTA(B9:B18),"ENTER ALL COUNTS","COUNT COMPLETE")</f>
        <v/>
      </c>
      <c r="K5" s="56" t="n"/>
      <c r="L5" s="57" t="n"/>
    </row>
    <row r="6" ht="32" customHeight="1">
      <c r="A6" s="49" t="n"/>
      <c r="B6" s="59" t="inlineStr">
        <is>
          <t>Closing steps: 1) Enter every yellow quantity, including zero.  2) Wait for “COUNT COMPLETE.”  3) Remove green quantities to the safe and add orange quantities from the safe.  4) The final drawer total will match the manager’s configured float.</t>
        </is>
      </c>
      <c r="C6" s="49" t="n"/>
      <c r="D6" s="49" t="n"/>
      <c r="E6" s="49" t="n"/>
      <c r="F6" s="49" t="n"/>
      <c r="G6" s="49" t="n"/>
      <c r="H6" s="49" t="n"/>
      <c r="I6" s="49" t="n"/>
      <c r="J6" s="49" t="n"/>
      <c r="K6" s="49" t="n"/>
      <c r="L6" s="49" t="n"/>
    </row>
    <row r="7" ht="24" customHeight="1">
      <c r="A7" s="49" t="n"/>
      <c r="B7" s="60" t="inlineStr">
        <is>
          <t>COUNT AND ADJUSTMENT BY DENOMINATION</t>
        </is>
      </c>
      <c r="C7" s="49" t="n"/>
      <c r="D7" s="49" t="n"/>
      <c r="E7" s="49" t="n"/>
      <c r="F7" s="49" t="n"/>
      <c r="G7" s="49" t="n"/>
      <c r="H7" s="49" t="n"/>
      <c r="I7" s="49" t="n"/>
      <c r="J7" s="49" t="n"/>
      <c r="K7" s="49" t="n"/>
      <c r="L7" s="49" t="n"/>
    </row>
    <row r="8" ht="33" customHeight="1">
      <c r="A8" s="49" t="n"/>
      <c r="B8" s="61" t="inlineStr">
        <is>
          <t>Denomination</t>
        </is>
      </c>
      <c r="C8" s="62" t="inlineStr">
        <is>
          <t>Value</t>
        </is>
      </c>
      <c r="D8" s="62" t="inlineStr">
        <is>
          <t>Qty
Counted</t>
        </is>
      </c>
      <c r="E8" s="62" t="inlineStr">
        <is>
          <t>Counted
Amount</t>
        </is>
      </c>
      <c r="F8" s="62" t="inlineStr">
        <is>
          <t>Ideal Qty
To Leave</t>
        </is>
      </c>
      <c r="G8" s="62" t="inlineStr">
        <is>
          <t>Qty Take
To Safe</t>
        </is>
      </c>
      <c r="H8" s="62" t="inlineStr">
        <is>
          <t>Take To
Safe $</t>
        </is>
      </c>
      <c r="I8" s="62" t="inlineStr">
        <is>
          <t>Qty Bring
From Safe</t>
        </is>
      </c>
      <c r="J8" s="62" t="inlineStr">
        <is>
          <t>Bring From
Safe $</t>
        </is>
      </c>
      <c r="K8" s="62" t="inlineStr">
        <is>
          <t>Final Qty
In Till</t>
        </is>
      </c>
      <c r="L8" s="63" t="inlineStr">
        <is>
          <t>Final Value
In Till $</t>
        </is>
      </c>
    </row>
    <row r="9" ht="20" customHeight="1">
      <c r="A9" s="49" t="n"/>
      <c r="B9" s="64" t="inlineStr">
        <is>
          <t>$100 bill</t>
        </is>
      </c>
      <c r="C9" s="99" t="n">
        <v>100</v>
      </c>
      <c r="D9" s="66" t="n"/>
      <c r="E9" s="100">
        <f>IF(D9="","",C9*D9)</f>
        <v/>
      </c>
      <c r="F9" s="68">
        <f>'Manager Setup'!D8</f>
        <v/>
      </c>
      <c r="G9" s="69">
        <f>IF(D9="","",MAX(D9-F9,0))</f>
        <v/>
      </c>
      <c r="H9" s="101">
        <f>IF(G9="","",C9*G9)</f>
        <v/>
      </c>
      <c r="I9" s="71">
        <f>IF(D9="","",MAX(F9-D9,0))</f>
        <v/>
      </c>
      <c r="J9" s="102">
        <f>IF(I9="","",C9*I9)</f>
        <v/>
      </c>
      <c r="K9" s="68">
        <f>IF(D9="","",F9)</f>
        <v/>
      </c>
      <c r="L9" s="103">
        <f>IF(K9="","",C9*K9)</f>
        <v/>
      </c>
    </row>
    <row r="10" ht="20" customHeight="1">
      <c r="A10" s="49" t="n"/>
      <c r="B10" s="64" t="inlineStr">
        <is>
          <t>$50 bill</t>
        </is>
      </c>
      <c r="C10" s="99" t="n">
        <v>50</v>
      </c>
      <c r="D10" s="66" t="n"/>
      <c r="E10" s="100">
        <f>IF(D10="","",C10*D10)</f>
        <v/>
      </c>
      <c r="F10" s="68">
        <f>'Manager Setup'!D9</f>
        <v/>
      </c>
      <c r="G10" s="69">
        <f>IF(D10="","",MAX(D10-F10,0))</f>
        <v/>
      </c>
      <c r="H10" s="101">
        <f>IF(G10="","",C10*G10)</f>
        <v/>
      </c>
      <c r="I10" s="71">
        <f>IF(D10="","",MAX(F10-D10,0))</f>
        <v/>
      </c>
      <c r="J10" s="102">
        <f>IF(I10="","",C10*I10)</f>
        <v/>
      </c>
      <c r="K10" s="68">
        <f>IF(D10="","",F10)</f>
        <v/>
      </c>
      <c r="L10" s="103">
        <f>IF(K10="","",C10*K10)</f>
        <v/>
      </c>
    </row>
    <row r="11" ht="20" customHeight="1">
      <c r="A11" s="49" t="n"/>
      <c r="B11" s="64" t="inlineStr">
        <is>
          <t>$20 bill</t>
        </is>
      </c>
      <c r="C11" s="99" t="n">
        <v>20</v>
      </c>
      <c r="D11" s="66" t="n"/>
      <c r="E11" s="100">
        <f>IF(D11="","",C11*D11)</f>
        <v/>
      </c>
      <c r="F11" s="68">
        <f>'Manager Setup'!D10</f>
        <v/>
      </c>
      <c r="G11" s="69">
        <f>IF(D11="","",MAX(D11-F11,0))</f>
        <v/>
      </c>
      <c r="H11" s="101">
        <f>IF(G11="","",C11*G11)</f>
        <v/>
      </c>
      <c r="I11" s="71">
        <f>IF(D11="","",MAX(F11-D11,0))</f>
        <v/>
      </c>
      <c r="J11" s="102">
        <f>IF(I11="","",C11*I11)</f>
        <v/>
      </c>
      <c r="K11" s="68">
        <f>IF(D11="","",F11)</f>
        <v/>
      </c>
      <c r="L11" s="103">
        <f>IF(K11="","",C11*K11)</f>
        <v/>
      </c>
    </row>
    <row r="12" ht="20" customHeight="1">
      <c r="A12" s="49" t="n"/>
      <c r="B12" s="64" t="inlineStr">
        <is>
          <t>$10 bill</t>
        </is>
      </c>
      <c r="C12" s="99" t="n">
        <v>10</v>
      </c>
      <c r="D12" s="66" t="n"/>
      <c r="E12" s="100">
        <f>IF(D12="","",C12*D12)</f>
        <v/>
      </c>
      <c r="F12" s="68">
        <f>'Manager Setup'!D11</f>
        <v/>
      </c>
      <c r="G12" s="69">
        <f>IF(D12="","",MAX(D12-F12,0))</f>
        <v/>
      </c>
      <c r="H12" s="101">
        <f>IF(G12="","",C12*G12)</f>
        <v/>
      </c>
      <c r="I12" s="71">
        <f>IF(D12="","",MAX(F12-D12,0))</f>
        <v/>
      </c>
      <c r="J12" s="102">
        <f>IF(I12="","",C12*I12)</f>
        <v/>
      </c>
      <c r="K12" s="68">
        <f>IF(D12="","",F12)</f>
        <v/>
      </c>
      <c r="L12" s="103">
        <f>IF(K12="","",C12*K12)</f>
        <v/>
      </c>
    </row>
    <row r="13" ht="20" customHeight="1">
      <c r="A13" s="49" t="n"/>
      <c r="B13" s="64" t="inlineStr">
        <is>
          <t>$5 bill</t>
        </is>
      </c>
      <c r="C13" s="99" t="n">
        <v>5</v>
      </c>
      <c r="D13" s="66" t="n"/>
      <c r="E13" s="100">
        <f>IF(D13="","",C13*D13)</f>
        <v/>
      </c>
      <c r="F13" s="68">
        <f>'Manager Setup'!D12</f>
        <v/>
      </c>
      <c r="G13" s="69">
        <f>IF(D13="","",MAX(D13-F13,0))</f>
        <v/>
      </c>
      <c r="H13" s="101">
        <f>IF(G13="","",C13*G13)</f>
        <v/>
      </c>
      <c r="I13" s="71">
        <f>IF(D13="","",MAX(F13-D13,0))</f>
        <v/>
      </c>
      <c r="J13" s="102">
        <f>IF(I13="","",C13*I13)</f>
        <v/>
      </c>
      <c r="K13" s="68">
        <f>IF(D13="","",F13)</f>
        <v/>
      </c>
      <c r="L13" s="103">
        <f>IF(K13="","",C13*K13)</f>
        <v/>
      </c>
    </row>
    <row r="14" ht="20" customHeight="1">
      <c r="A14" s="49" t="n"/>
      <c r="B14" s="64" t="inlineStr">
        <is>
          <t>$2 coin</t>
        </is>
      </c>
      <c r="C14" s="99" t="n">
        <v>2</v>
      </c>
      <c r="D14" s="66" t="n"/>
      <c r="E14" s="100">
        <f>IF(D14="","",C14*D14)</f>
        <v/>
      </c>
      <c r="F14" s="68">
        <f>'Manager Setup'!D13</f>
        <v/>
      </c>
      <c r="G14" s="69">
        <f>IF(D14="","",MAX(D14-F14,0))</f>
        <v/>
      </c>
      <c r="H14" s="101">
        <f>IF(G14="","",C14*G14)</f>
        <v/>
      </c>
      <c r="I14" s="71">
        <f>IF(D14="","",MAX(F14-D14,0))</f>
        <v/>
      </c>
      <c r="J14" s="102">
        <f>IF(I14="","",C14*I14)</f>
        <v/>
      </c>
      <c r="K14" s="68">
        <f>IF(D14="","",F14)</f>
        <v/>
      </c>
      <c r="L14" s="103">
        <f>IF(K14="","",C14*K14)</f>
        <v/>
      </c>
    </row>
    <row r="15" ht="20" customHeight="1">
      <c r="A15" s="49" t="n"/>
      <c r="B15" s="64" t="inlineStr">
        <is>
          <t>$1 coin</t>
        </is>
      </c>
      <c r="C15" s="99" t="n">
        <v>1</v>
      </c>
      <c r="D15" s="66" t="n"/>
      <c r="E15" s="100">
        <f>IF(D15="","",C15*D15)</f>
        <v/>
      </c>
      <c r="F15" s="68">
        <f>'Manager Setup'!D14</f>
        <v/>
      </c>
      <c r="G15" s="69">
        <f>IF(D15="","",MAX(D15-F15,0))</f>
        <v/>
      </c>
      <c r="H15" s="101">
        <f>IF(G15="","",C15*G15)</f>
        <v/>
      </c>
      <c r="I15" s="71">
        <f>IF(D15="","",MAX(F15-D15,0))</f>
        <v/>
      </c>
      <c r="J15" s="102">
        <f>IF(I15="","",C15*I15)</f>
        <v/>
      </c>
      <c r="K15" s="68">
        <f>IF(D15="","",F15)</f>
        <v/>
      </c>
      <c r="L15" s="103">
        <f>IF(K15="","",C15*K15)</f>
        <v/>
      </c>
    </row>
    <row r="16" ht="20" customHeight="1">
      <c r="A16" s="49" t="n"/>
      <c r="B16" s="64" t="inlineStr">
        <is>
          <t>Quarter</t>
        </is>
      </c>
      <c r="C16" s="99" t="n">
        <v>0.25</v>
      </c>
      <c r="D16" s="66" t="n"/>
      <c r="E16" s="100">
        <f>IF(D16="","",C16*D16)</f>
        <v/>
      </c>
      <c r="F16" s="68">
        <f>'Manager Setup'!D15</f>
        <v/>
      </c>
      <c r="G16" s="69">
        <f>IF(D16="","",MAX(D16-F16,0))</f>
        <v/>
      </c>
      <c r="H16" s="101">
        <f>IF(G16="","",C16*G16)</f>
        <v/>
      </c>
      <c r="I16" s="71">
        <f>IF(D16="","",MAX(F16-D16,0))</f>
        <v/>
      </c>
      <c r="J16" s="102">
        <f>IF(I16="","",C16*I16)</f>
        <v/>
      </c>
      <c r="K16" s="68">
        <f>IF(D16="","",F16)</f>
        <v/>
      </c>
      <c r="L16" s="103">
        <f>IF(K16="","",C16*K16)</f>
        <v/>
      </c>
    </row>
    <row r="17" ht="20" customHeight="1">
      <c r="A17" s="49" t="n"/>
      <c r="B17" s="64" t="inlineStr">
        <is>
          <t>Dime</t>
        </is>
      </c>
      <c r="C17" s="99" t="n">
        <v>0.1</v>
      </c>
      <c r="D17" s="66" t="n"/>
      <c r="E17" s="100">
        <f>IF(D17="","",C17*D17)</f>
        <v/>
      </c>
      <c r="F17" s="68">
        <f>'Manager Setup'!D16</f>
        <v/>
      </c>
      <c r="G17" s="69">
        <f>IF(D17="","",MAX(D17-F17,0))</f>
        <v/>
      </c>
      <c r="H17" s="101">
        <f>IF(G17="","",C17*G17)</f>
        <v/>
      </c>
      <c r="I17" s="71">
        <f>IF(D17="","",MAX(F17-D17,0))</f>
        <v/>
      </c>
      <c r="J17" s="102">
        <f>IF(I17="","",C17*I17)</f>
        <v/>
      </c>
      <c r="K17" s="68">
        <f>IF(D17="","",F17)</f>
        <v/>
      </c>
      <c r="L17" s="103">
        <f>IF(K17="","",C17*K17)</f>
        <v/>
      </c>
    </row>
    <row r="18" ht="20" customHeight="1">
      <c r="A18" s="49" t="n"/>
      <c r="B18" s="64" t="inlineStr">
        <is>
          <t>Nickel</t>
        </is>
      </c>
      <c r="C18" s="99" t="n">
        <v>0.05</v>
      </c>
      <c r="D18" s="66" t="n"/>
      <c r="E18" s="100">
        <f>IF(D18="","",C18*D18)</f>
        <v/>
      </c>
      <c r="F18" s="68">
        <f>'Manager Setup'!D17</f>
        <v/>
      </c>
      <c r="G18" s="69">
        <f>IF(D18="","",MAX(D18-F18,0))</f>
        <v/>
      </c>
      <c r="H18" s="101">
        <f>IF(G18="","",C18*G18)</f>
        <v/>
      </c>
      <c r="I18" s="71">
        <f>IF(D18="","",MAX(F18-D18,0))</f>
        <v/>
      </c>
      <c r="J18" s="102">
        <f>IF(I18="","",C18*I18)</f>
        <v/>
      </c>
      <c r="K18" s="68">
        <f>IF(D18="","",F18)</f>
        <v/>
      </c>
      <c r="L18" s="103">
        <f>IF(K18="","",C18*K18)</f>
        <v/>
      </c>
    </row>
    <row r="19" ht="22" customHeight="1">
      <c r="A19" s="49" t="n"/>
      <c r="B19" s="74" t="inlineStr">
        <is>
          <t>TOTAL</t>
        </is>
      </c>
      <c r="C19" s="75" t="n"/>
      <c r="D19" s="75" t="n"/>
      <c r="E19" s="104">
        <f>SUM(E9:E18)</f>
        <v/>
      </c>
      <c r="F19" s="104">
        <f>SUMPRODUCT(C9:C18,F9:F18)</f>
        <v/>
      </c>
      <c r="G19" s="75" t="n"/>
      <c r="H19" s="104">
        <f>SUM(H9:H18)</f>
        <v/>
      </c>
      <c r="I19" s="75" t="n"/>
      <c r="J19" s="104">
        <f>SUM(J9:J18)</f>
        <v/>
      </c>
      <c r="K19" s="75" t="n"/>
      <c r="L19" s="105">
        <f>SUM(L9:L18)</f>
        <v/>
      </c>
    </row>
    <row r="20">
      <c r="A20" s="49" t="n"/>
      <c r="B20" s="49" t="n"/>
      <c r="C20" s="49" t="n"/>
      <c r="D20" s="49" t="n"/>
      <c r="E20" s="49" t="n"/>
      <c r="F20" s="49" t="n"/>
      <c r="G20" s="49" t="n"/>
      <c r="H20" s="49" t="n"/>
      <c r="I20" s="49" t="n"/>
      <c r="J20" s="49" t="n"/>
      <c r="K20" s="49" t="n"/>
      <c r="L20" s="49" t="n"/>
    </row>
    <row r="21" ht="24" customHeight="1">
      <c r="A21" s="49" t="n"/>
      <c r="B21" s="60" t="inlineStr">
        <is>
          <t>CLOSE-OUT SUMMARY</t>
        </is>
      </c>
      <c r="C21" s="49" t="n"/>
      <c r="D21" s="49" t="n"/>
      <c r="E21" s="49" t="n"/>
      <c r="F21" s="49" t="n"/>
      <c r="G21" s="49" t="n"/>
      <c r="H21" s="60" t="inlineStr">
        <is>
          <t>QUICK CHECKLIST</t>
        </is>
      </c>
      <c r="I21" s="49" t="n"/>
      <c r="J21" s="49" t="n"/>
      <c r="K21" s="49" t="n"/>
      <c r="L21" s="49" t="n"/>
    </row>
    <row r="22" ht="27" customHeight="1">
      <c r="A22" s="49" t="n"/>
      <c r="B22" s="78" t="inlineStr">
        <is>
          <t>Total cash counted in drawer</t>
        </is>
      </c>
      <c r="C22" s="56" t="n"/>
      <c r="D22" s="56" t="n"/>
      <c r="E22" s="106">
        <f>IF($J$5="COUNT COMPLETE",E19,"")</f>
        <v/>
      </c>
      <c r="F22" s="80" t="inlineStr"/>
      <c r="G22" s="49" t="n"/>
      <c r="H22" s="81" t="inlineStr">
        <is>
          <t>1. Enter a number in each yellow quantity cell — use 0 when none are present.</t>
        </is>
      </c>
      <c r="I22" s="56" t="n"/>
      <c r="J22" s="56" t="n"/>
      <c r="K22" s="56" t="n"/>
      <c r="L22" s="57" t="n"/>
    </row>
    <row r="23" ht="22" customHeight="1">
      <c r="A23" s="49" t="n"/>
      <c r="B23" s="78" t="inlineStr">
        <is>
          <t>Configured float to leave in register</t>
        </is>
      </c>
      <c r="C23" s="56" t="n"/>
      <c r="D23" s="56" t="n"/>
      <c r="E23" s="107">
        <f>IF($J$5="COUNT COMPLETE",L19,"")</f>
        <v/>
      </c>
      <c r="F23" s="80" t="inlineStr"/>
      <c r="G23" s="49" t="n"/>
      <c r="H23" s="81" t="inlineStr">
        <is>
          <t>2. Confirm the Count Status says “COUNT COMPLETE.”</t>
        </is>
      </c>
      <c r="I23" s="56" t="n"/>
      <c r="J23" s="56" t="n"/>
      <c r="K23" s="56" t="n"/>
      <c r="L23" s="57" t="n"/>
    </row>
    <row r="24" ht="27" customHeight="1">
      <c r="A24" s="49" t="n"/>
      <c r="B24" s="78" t="inlineStr">
        <is>
          <t>Cash to take to safe (total removed)</t>
        </is>
      </c>
      <c r="C24" s="56" t="n"/>
      <c r="D24" s="56" t="n"/>
      <c r="E24" s="106">
        <f>IF($J$5="COUNT COMPLETE",H19,"")</f>
        <v/>
      </c>
      <c r="F24" s="80" t="inlineStr"/>
      <c r="G24" s="49" t="n"/>
      <c r="H24" s="81" t="inlineStr">
        <is>
          <t>3. Take green quantities to the safe. Bring orange quantities from the safe.</t>
        </is>
      </c>
      <c r="I24" s="56" t="n"/>
      <c r="J24" s="56" t="n"/>
      <c r="K24" s="56" t="n"/>
      <c r="L24" s="57" t="n"/>
    </row>
    <row r="25" ht="22" customHeight="1">
      <c r="A25" s="49" t="n"/>
      <c r="B25" s="78" t="inlineStr">
        <is>
          <t>Cash to bring from safe (total added)</t>
        </is>
      </c>
      <c r="C25" s="56" t="n"/>
      <c r="D25" s="56" t="n"/>
      <c r="E25" s="106">
        <f>IF($J$5="COUNT COMPLETE",J19,"")</f>
        <v/>
      </c>
      <c r="F25" s="80" t="inlineStr"/>
      <c r="G25" s="49" t="n"/>
      <c r="H25" s="81" t="inlineStr">
        <is>
          <t>4. When done, the final register total should equal the configured float.</t>
        </is>
      </c>
      <c r="I25" s="56" t="n"/>
      <c r="J25" s="56" t="n"/>
      <c r="K25" s="56" t="n"/>
      <c r="L25" s="57" t="n"/>
    </row>
    <row r="26" ht="27" customHeight="1">
      <c r="A26" s="49" t="n"/>
      <c r="B26" s="78" t="inlineStr">
        <is>
          <t>Net cash to safe (+) / from safe (-)</t>
        </is>
      </c>
      <c r="C26" s="56" t="n"/>
      <c r="D26" s="56" t="n"/>
      <c r="E26" s="106">
        <f>IF($J$5="COUNT COMPLETE",H19-J19,"")</f>
        <v/>
      </c>
      <c r="F26" s="80" t="inlineStr"/>
      <c r="G26" s="49" t="n"/>
      <c r="H26" s="81" t="inlineStr">
        <is>
          <t>5. Copy the final amounts to Cash Count Log if you keep a daily audit trail.</t>
        </is>
      </c>
      <c r="I26" s="56" t="n"/>
      <c r="J26" s="56" t="n"/>
      <c r="K26" s="56" t="n"/>
      <c r="L26" s="57" t="n"/>
    </row>
    <row r="27" ht="27" customHeight="1">
      <c r="A27" s="49" t="n"/>
      <c r="B27" s="78" t="inlineStr">
        <is>
          <t>Final register total after adjustments</t>
        </is>
      </c>
      <c r="C27" s="56" t="n"/>
      <c r="D27" s="56" t="n"/>
      <c r="E27" s="107">
        <f>IF($J$5="COUNT COMPLETE",L19,"")</f>
        <v/>
      </c>
      <c r="F27" s="80" t="inlineStr"/>
      <c r="G27" s="49" t="n"/>
      <c r="H27" s="81" t="inlineStr">
        <is>
          <t>6. Important: use the denomination directions, not only the net amount.</t>
        </is>
      </c>
      <c r="I27" s="56" t="n"/>
      <c r="J27" s="56" t="n"/>
      <c r="K27" s="56" t="n"/>
      <c r="L27" s="57"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ht="22" customHeight="1">
      <c r="A30" s="49" t="n"/>
      <c r="B30" s="83" t="inlineStr">
        <is>
          <t>Colour key: Yellow = enter quantity  |  Green = remove to safe  |  Orange = bring from safe  |  Blue = manager-set target / calculated result</t>
        </is>
      </c>
      <c r="C30" s="49" t="n"/>
      <c r="D30" s="49" t="n"/>
      <c r="E30" s="49" t="n"/>
      <c r="F30" s="49" t="n"/>
      <c r="G30" s="49" t="n"/>
      <c r="H30" s="49" t="n"/>
      <c r="I30" s="49" t="n"/>
      <c r="J30" s="49" t="n"/>
      <c r="K30" s="49" t="n"/>
      <c r="L30" s="49" t="n"/>
    </row>
  </sheetData>
  <mergeCells count="21">
    <mergeCell ref="H26:L26"/>
    <mergeCell ref="F5:H5"/>
    <mergeCell ref="B23:D23"/>
    <mergeCell ref="B7:L7"/>
    <mergeCell ref="B3:L3"/>
    <mergeCell ref="B21:F21"/>
    <mergeCell ref="H25:L25"/>
    <mergeCell ref="H21:L21"/>
    <mergeCell ref="B2:L2"/>
    <mergeCell ref="B24:D24"/>
    <mergeCell ref="B26:D26"/>
    <mergeCell ref="B25:D25"/>
    <mergeCell ref="H22:L22"/>
    <mergeCell ref="J5:L5"/>
    <mergeCell ref="H27:L27"/>
    <mergeCell ref="B6:L6"/>
    <mergeCell ref="B30:L30"/>
    <mergeCell ref="B22:D22"/>
    <mergeCell ref="H24:L24"/>
    <mergeCell ref="B27:D27"/>
    <mergeCell ref="H23:L23"/>
  </mergeCells>
  <conditionalFormatting sqref="J5">
    <cfRule type="expression" priority="1" dxfId="0">
      <formula>$J$5="COUNT COMPLETE"</formula>
    </cfRule>
    <cfRule type="expression" priority="2" dxfId="1">
      <formula>$J$5="ENTER ALL COUNTS"</formula>
    </cfRule>
  </conditionalFormatting>
  <conditionalFormatting sqref="E26">
    <cfRule type="expression" priority="3" dxfId="2">
      <formula>E26&lt;0</formula>
    </cfRule>
    <cfRule type="expression" priority="4" dxfId="3">
      <formula>E26&gt;0</formula>
    </cfRule>
  </conditionalFormatting>
  <dataValidations count="2">
    <dataValidation sqref="D9:D18" showDropDown="0" showInputMessage="0" showErrorMessage="0" allowBlank="1" errorTitle="Whole numbers only" error="Enter a whole number from 0 to 9,999. Enter 0 when none are present." promptTitle="Cash count quantity" prompt="Enter the number of this bill or coin in the cash drawer. Use 0 if none." type="whole" operator="between">
      <formula1>0</formula1>
      <formula2>9999</formula2>
    </dataValidation>
    <dataValidation sqref="C5" showDropDown="0" showInputMessage="0" showErrorMessage="0" allowBlank="0" errorTitle="Valid date required" error="Enter a valid date." type="date" operator="between">
      <formula1>DATE(2020,1,1)</formula1>
      <formula2>DATE(2100,12,31)</formula2>
    </dataValidation>
  </dataValidations>
  <pageMargins left="0.25" right="0.25" top="0.45" bottom="0.45" header="0.2" footer="0.2"/>
  <pageSetup orientation="landscape" paperSize="1" fitToHeight="1" fitToWidth="1"/>
  <headerFooter>
    <oddHeader/>
    <oddFooter>&amp;CPage &amp;P of &amp;N&amp;RCanadian Cash Register Close-Out</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26"/>
  <sheetViews>
    <sheetView showGridLines="0" workbookViewId="0">
      <selection activeCell="A1" sqref="A1"/>
    </sheetView>
  </sheetViews>
  <sheetFormatPr baseColWidth="8" defaultRowHeight="15"/>
  <cols>
    <col width="3" customWidth="1" min="1" max="1"/>
    <col width="20" customWidth="1" min="2" max="2"/>
    <col width="12" customWidth="1" min="3" max="3"/>
    <col width="23" customWidth="1" min="4" max="4"/>
    <col width="16" customWidth="1" min="5" max="5"/>
    <col width="20" customWidth="1" min="6" max="6"/>
  </cols>
  <sheetData>
    <row r="1">
      <c r="A1" s="49" t="n"/>
      <c r="B1" s="49" t="n"/>
      <c r="C1" s="49" t="n"/>
      <c r="D1" s="49" t="n"/>
      <c r="E1" s="49" t="n"/>
      <c r="F1" s="49" t="n"/>
    </row>
    <row r="2" ht="34" customHeight="1">
      <c r="A2" s="49" t="n"/>
      <c r="B2" s="50" t="inlineStr">
        <is>
          <t>Manager Setup: Canadian Till Float and Ideal Mix</t>
        </is>
      </c>
      <c r="C2" s="49" t="n"/>
      <c r="D2" s="49" t="n"/>
      <c r="E2" s="49" t="n"/>
      <c r="F2" s="49" t="n"/>
    </row>
    <row r="3" ht="26" customHeight="1">
      <c r="A3" s="49" t="n"/>
      <c r="B3" s="51" t="inlineStr">
        <is>
          <t>Manager use: adjust the yellow “Ideal Qty to Leave” cells to match your operation. The configured mix must equal the Expected Float before employees use the Daily Cash Count sheet.</t>
        </is>
      </c>
      <c r="C3" s="49" t="n"/>
      <c r="D3" s="49" t="n"/>
      <c r="E3" s="49" t="n"/>
      <c r="F3" s="49" t="n"/>
    </row>
    <row r="4">
      <c r="A4" s="49" t="n"/>
      <c r="B4" s="49" t="n"/>
      <c r="C4" s="49" t="n"/>
      <c r="D4" s="49" t="n"/>
      <c r="E4" s="49" t="n"/>
      <c r="F4" s="49" t="n"/>
    </row>
    <row r="5" ht="24" customHeight="1">
      <c r="A5" s="49" t="n"/>
      <c r="B5" s="60" t="inlineStr">
        <is>
          <t>FLOAT SETTINGS</t>
        </is>
      </c>
      <c r="C5" s="49" t="n"/>
      <c r="D5" s="49" t="n"/>
      <c r="E5" s="49" t="n"/>
      <c r="F5" s="49" t="n"/>
    </row>
    <row r="6" ht="24" customHeight="1">
      <c r="A6" s="49" t="n"/>
      <c r="B6" s="84" t="inlineStr">
        <is>
          <t>Expected Float</t>
        </is>
      </c>
      <c r="C6" s="108" t="n">
        <v>250</v>
      </c>
      <c r="D6" s="86" t="inlineStr">
        <is>
          <t>Change this only if the desired total float changes.</t>
        </is>
      </c>
      <c r="E6" s="56" t="n"/>
      <c r="F6" s="57" t="n"/>
    </row>
    <row r="7" ht="33" customHeight="1">
      <c r="A7" s="49" t="n"/>
      <c r="B7" s="61" t="inlineStr">
        <is>
          <t>Denomination</t>
        </is>
      </c>
      <c r="C7" s="62" t="inlineStr">
        <is>
          <t>Value</t>
        </is>
      </c>
      <c r="D7" s="62" t="inlineStr">
        <is>
          <t>Ideal Qty To Leave</t>
        </is>
      </c>
      <c r="E7" s="62" t="inlineStr">
        <is>
          <t>Ideal Value To Leave</t>
        </is>
      </c>
      <c r="F7" s="63" t="inlineStr">
        <is>
          <t>Manager Note</t>
        </is>
      </c>
    </row>
    <row r="8" ht="20" customHeight="1">
      <c r="A8" s="49" t="n"/>
      <c r="B8" s="64" t="inlineStr">
        <is>
          <t>$100 bill</t>
        </is>
      </c>
      <c r="C8" s="99" t="n">
        <v>100</v>
      </c>
      <c r="D8" s="87" t="n">
        <v>0</v>
      </c>
      <c r="E8" s="100">
        <f>C8*D8</f>
        <v/>
      </c>
      <c r="F8" s="88" t="inlineStr"/>
    </row>
    <row r="9" ht="20" customHeight="1">
      <c r="A9" s="49" t="n"/>
      <c r="B9" s="64" t="inlineStr">
        <is>
          <t>$50 bill</t>
        </is>
      </c>
      <c r="C9" s="99" t="n">
        <v>50</v>
      </c>
      <c r="D9" s="87" t="n">
        <v>0</v>
      </c>
      <c r="E9" s="100">
        <f>C9*D9</f>
        <v/>
      </c>
      <c r="F9" s="88" t="inlineStr"/>
    </row>
    <row r="10" ht="20" customHeight="1">
      <c r="A10" s="49" t="n"/>
      <c r="B10" s="64" t="inlineStr">
        <is>
          <t>$20 bill</t>
        </is>
      </c>
      <c r="C10" s="99" t="n">
        <v>20</v>
      </c>
      <c r="D10" s="87" t="n">
        <v>5</v>
      </c>
      <c r="E10" s="100">
        <f>C10*D10</f>
        <v/>
      </c>
      <c r="F10" s="88" t="inlineStr"/>
    </row>
    <row r="11" ht="20" customHeight="1">
      <c r="A11" s="49" t="n"/>
      <c r="B11" s="64" t="inlineStr">
        <is>
          <t>$10 bill</t>
        </is>
      </c>
      <c r="C11" s="99" t="n">
        <v>10</v>
      </c>
      <c r="D11" s="87" t="n">
        <v>6</v>
      </c>
      <c r="E11" s="100">
        <f>C11*D11</f>
        <v/>
      </c>
      <c r="F11" s="88" t="inlineStr"/>
    </row>
    <row r="12" ht="20" customHeight="1">
      <c r="A12" s="49" t="n"/>
      <c r="B12" s="64" t="inlineStr">
        <is>
          <t>$5 bill</t>
        </is>
      </c>
      <c r="C12" s="99" t="n">
        <v>5</v>
      </c>
      <c r="D12" s="87" t="n">
        <v>8</v>
      </c>
      <c r="E12" s="100">
        <f>C12*D12</f>
        <v/>
      </c>
      <c r="F12" s="88" t="inlineStr"/>
    </row>
    <row r="13" ht="20" customHeight="1">
      <c r="A13" s="49" t="n"/>
      <c r="B13" s="64" t="inlineStr">
        <is>
          <t>$2 coin</t>
        </is>
      </c>
      <c r="C13" s="99" t="n">
        <v>2</v>
      </c>
      <c r="D13" s="87" t="n">
        <v>10</v>
      </c>
      <c r="E13" s="100">
        <f>C13*D13</f>
        <v/>
      </c>
      <c r="F13" s="88" t="inlineStr"/>
    </row>
    <row r="14" ht="20" customHeight="1">
      <c r="A14" s="49" t="n"/>
      <c r="B14" s="64" t="inlineStr">
        <is>
          <t>$1 coin</t>
        </is>
      </c>
      <c r="C14" s="99" t="n">
        <v>1</v>
      </c>
      <c r="D14" s="87" t="n">
        <v>15</v>
      </c>
      <c r="E14" s="100">
        <f>C14*D14</f>
        <v/>
      </c>
      <c r="F14" s="88" t="inlineStr"/>
    </row>
    <row r="15" ht="20" customHeight="1">
      <c r="A15" s="49" t="n"/>
      <c r="B15" s="64" t="inlineStr">
        <is>
          <t>Quarter</t>
        </is>
      </c>
      <c r="C15" s="99" t="n">
        <v>0.25</v>
      </c>
      <c r="D15" s="87" t="n">
        <v>40</v>
      </c>
      <c r="E15" s="100">
        <f>C15*D15</f>
        <v/>
      </c>
      <c r="F15" s="88" t="inlineStr"/>
    </row>
    <row r="16" ht="20" customHeight="1">
      <c r="A16" s="49" t="n"/>
      <c r="B16" s="64" t="inlineStr">
        <is>
          <t>Dime</t>
        </is>
      </c>
      <c r="C16" s="99" t="n">
        <v>0.1</v>
      </c>
      <c r="D16" s="87" t="n">
        <v>30</v>
      </c>
      <c r="E16" s="100">
        <f>C16*D16</f>
        <v/>
      </c>
      <c r="F16" s="88" t="inlineStr"/>
    </row>
    <row r="17" ht="20" customHeight="1">
      <c r="A17" s="49" t="n"/>
      <c r="B17" s="64" t="inlineStr">
        <is>
          <t>Nickel</t>
        </is>
      </c>
      <c r="C17" s="99" t="n">
        <v>0.05</v>
      </c>
      <c r="D17" s="87" t="n">
        <v>40</v>
      </c>
      <c r="E17" s="100">
        <f>C17*D17</f>
        <v/>
      </c>
      <c r="F17" s="88" t="inlineStr"/>
    </row>
    <row r="18" ht="22" customHeight="1">
      <c r="A18" s="49" t="n"/>
      <c r="B18" s="89" t="inlineStr">
        <is>
          <t>CONFIGURED FLOAT</t>
        </is>
      </c>
      <c r="C18" s="90" t="n"/>
      <c r="D18" s="90" t="n"/>
      <c r="E18" s="109">
        <f>SUM(E8:E17)</f>
        <v/>
      </c>
      <c r="F18" s="92" t="n"/>
    </row>
    <row r="19">
      <c r="A19" s="49" t="n"/>
      <c r="B19" s="49" t="n"/>
      <c r="C19" s="49" t="n"/>
      <c r="D19" s="49" t="n"/>
      <c r="E19" s="49" t="n"/>
      <c r="F19" s="49" t="n"/>
    </row>
    <row r="20" ht="24" customHeight="1">
      <c r="A20" s="49" t="n"/>
      <c r="B20" s="60" t="inlineStr">
        <is>
          <t>READINESS CHECK</t>
        </is>
      </c>
      <c r="C20" s="49" t="n"/>
      <c r="D20" s="49" t="n"/>
      <c r="E20" s="49" t="n"/>
      <c r="F20" s="49" t="n"/>
    </row>
    <row r="21" ht="22" customHeight="1">
      <c r="A21" s="49" t="n"/>
      <c r="B21" s="78" t="inlineStr">
        <is>
          <t>Configured Float</t>
        </is>
      </c>
      <c r="C21" s="56" t="n"/>
      <c r="D21" s="56" t="n"/>
      <c r="E21" s="110">
        <f>E18</f>
        <v/>
      </c>
      <c r="F21" s="80" t="inlineStr"/>
    </row>
    <row r="22" ht="22" customHeight="1">
      <c r="A22" s="49" t="n"/>
      <c r="B22" s="78" t="inlineStr">
        <is>
          <t>Expected Float</t>
        </is>
      </c>
      <c r="C22" s="56" t="n"/>
      <c r="D22" s="56" t="n"/>
      <c r="E22" s="110">
        <f>C6</f>
        <v/>
      </c>
      <c r="F22" s="80" t="inlineStr"/>
    </row>
    <row r="23" ht="22" customHeight="1">
      <c r="A23" s="49" t="n"/>
      <c r="B23" s="78" t="inlineStr">
        <is>
          <t>Setup Status</t>
        </is>
      </c>
      <c r="C23" s="56" t="n"/>
      <c r="D23" s="56" t="n"/>
      <c r="E23" s="94">
        <f>IF(E18=C6,"READY FOR USE","UPDATE IDEAL QUANTITIES")</f>
        <v/>
      </c>
      <c r="F23" s="57" t="n"/>
    </row>
    <row r="24">
      <c r="A24" s="49" t="n"/>
      <c r="B24" s="49" t="n"/>
      <c r="C24" s="49" t="n"/>
      <c r="D24" s="49" t="n"/>
      <c r="E24" s="49" t="n"/>
      <c r="F24" s="49" t="n"/>
    </row>
    <row r="25" ht="46" customHeight="1">
      <c r="A25" s="49" t="n"/>
      <c r="B25" s="59" t="inlineStr">
        <is>
          <t>Recommended Canadian starting mix: $20×5, $10×6, $5×8, $2×10, $1×15, 25¢×40, 10¢×30, and 5¢×40. This adds to C$250.00. Pennies are not included. Change the mix to suit your normal transaction and change-making needs, but make sure the status is “READY FOR USE.”</t>
        </is>
      </c>
      <c r="C25" s="49" t="n"/>
      <c r="D25" s="49" t="n"/>
      <c r="E25" s="49" t="n"/>
      <c r="F25" s="49" t="n"/>
    </row>
    <row r="26">
      <c r="A26" s="49" t="n"/>
      <c r="B26" s="49" t="n"/>
      <c r="C26" s="49" t="n"/>
      <c r="D26" s="49" t="n"/>
      <c r="E26" s="49" t="n"/>
      <c r="F26" s="49" t="n"/>
    </row>
  </sheetData>
  <mergeCells count="10">
    <mergeCell ref="B2:F2"/>
    <mergeCell ref="B20:F20"/>
    <mergeCell ref="B23:D23"/>
    <mergeCell ref="B22:D22"/>
    <mergeCell ref="B3:F3"/>
    <mergeCell ref="B5:F5"/>
    <mergeCell ref="B25:F26"/>
    <mergeCell ref="E23:F23"/>
    <mergeCell ref="B21:D21"/>
    <mergeCell ref="D6:F6"/>
  </mergeCells>
  <conditionalFormatting sqref="E23">
    <cfRule type="expression" priority="1" dxfId="0">
      <formula>$E$23="READY FOR USE"</formula>
    </cfRule>
    <cfRule type="expression" priority="2" dxfId="1">
      <formula>$E$23="UPDATE IDEAL QUANTITIES"</formula>
    </cfRule>
  </conditionalFormatting>
  <dataValidations count="2">
    <dataValidation sqref="D8:D17" showDropDown="0" showInputMessage="0" showErrorMessage="0" allowBlank="0" errorTitle="Whole numbers only" error="Enter a whole number from 0 to 9,999." type="whole" operator="between">
      <formula1>0</formula1>
      <formula2>9999</formula2>
    </dataValidation>
    <dataValidation sqref="C6" showDropDown="0" showInputMessage="0" showErrorMessage="0" allowBlank="0" error="Enter a valid positive currency amount." type="decimal" operator="between">
      <formula1>0</formula1>
      <formula2>100000</formula2>
    </dataValidation>
  </dataValidations>
  <pageMargins left="0.25" right="0.25" top="0.45" bottom="0.45" header="0.2" footer="0.2"/>
  <pageSetup orientation="landscape" paperSize="1" fitToHeight="1" fitToWidth="1"/>
  <headerFooter>
    <oddHeader/>
    <oddFooter>&amp;CPage &amp;P of &amp;N&amp;RCanadian Cash Register Close-Out</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37"/>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3" customWidth="1" min="2" max="2"/>
    <col width="18" customWidth="1" min="3" max="3"/>
    <col width="17" customWidth="1" min="4" max="4"/>
    <col width="16" customWidth="1" min="5" max="5"/>
    <col width="16" customWidth="1" min="6" max="6"/>
    <col width="17" customWidth="1" min="7" max="7"/>
    <col width="18" customWidth="1" min="8" max="8"/>
    <col width="34" customWidth="1" min="9" max="9"/>
  </cols>
  <sheetData>
    <row r="1">
      <c r="A1" s="49" t="n"/>
      <c r="B1" s="49" t="n"/>
      <c r="C1" s="49" t="n"/>
      <c r="D1" s="49" t="n"/>
      <c r="E1" s="49" t="n"/>
      <c r="F1" s="49" t="n"/>
      <c r="G1" s="49" t="n"/>
      <c r="H1" s="49" t="n"/>
      <c r="I1" s="49" t="n"/>
    </row>
    <row r="2" ht="34" customHeight="1">
      <c r="A2" s="49" t="n"/>
      <c r="B2" s="50" t="inlineStr">
        <is>
          <t>Canadian Cash Count Log</t>
        </is>
      </c>
      <c r="C2" s="49" t="n"/>
      <c r="D2" s="49" t="n"/>
      <c r="E2" s="49" t="n"/>
      <c r="F2" s="49" t="n"/>
      <c r="G2" s="49" t="n"/>
      <c r="H2" s="49" t="n"/>
      <c r="I2" s="49" t="n"/>
    </row>
    <row r="3" ht="26" customHeight="1">
      <c r="A3" s="49" t="n"/>
      <c r="B3" s="51" t="inlineStr">
        <is>
          <t>Optional daily audit trail: after close-out, copy the summary amounts from the Daily Cash Count sheet into the next blank row below. All amounts are Canadian dollars (CAD).</t>
        </is>
      </c>
      <c r="C3" s="49" t="n"/>
      <c r="D3" s="49" t="n"/>
      <c r="E3" s="49" t="n"/>
      <c r="F3" s="49" t="n"/>
      <c r="G3" s="49" t="n"/>
      <c r="H3" s="49" t="n"/>
      <c r="I3" s="49" t="n"/>
    </row>
    <row r="4">
      <c r="A4" s="49" t="n"/>
      <c r="B4" s="49" t="n"/>
      <c r="C4" s="49" t="n"/>
      <c r="D4" s="49" t="n"/>
      <c r="E4" s="49" t="n"/>
      <c r="F4" s="49" t="n"/>
      <c r="G4" s="49" t="n"/>
      <c r="H4" s="49" t="n"/>
      <c r="I4" s="49" t="n"/>
    </row>
    <row r="5" ht="30" customHeight="1">
      <c r="A5" s="49" t="n"/>
      <c r="B5" s="59" t="inlineStr">
        <is>
          <t>Tip: “Net To Safe” is positive when cash is deposited to the safe and negative when cash is brought from the safe. Use the denomination table on Daily Cash Count for the actual Canadian bills and coins.</t>
        </is>
      </c>
      <c r="C5" s="49" t="n"/>
      <c r="D5" s="49" t="n"/>
      <c r="E5" s="49" t="n"/>
      <c r="F5" s="49" t="n"/>
      <c r="G5" s="49" t="n"/>
      <c r="H5" s="49" t="n"/>
      <c r="I5" s="49" t="n"/>
    </row>
    <row r="6">
      <c r="A6" s="49" t="n"/>
      <c r="B6" s="49" t="n"/>
      <c r="C6" s="49" t="n"/>
      <c r="D6" s="49" t="n"/>
      <c r="E6" s="49" t="n"/>
      <c r="F6" s="49" t="n"/>
      <c r="G6" s="49" t="n"/>
      <c r="H6" s="49" t="n"/>
      <c r="I6" s="49" t="n"/>
    </row>
    <row r="7" ht="33" customHeight="1">
      <c r="A7" s="49" t="n"/>
      <c r="B7" s="95" t="inlineStr">
        <is>
          <t>Date</t>
        </is>
      </c>
      <c r="C7" s="95" t="inlineStr">
        <is>
          <t>Employee / Initials</t>
        </is>
      </c>
      <c r="D7" s="95" t="inlineStr">
        <is>
          <t>Cash Counted</t>
        </is>
      </c>
      <c r="E7" s="95" t="inlineStr">
        <is>
          <t>Float Left</t>
        </is>
      </c>
      <c r="F7" s="95" t="inlineStr">
        <is>
          <t>To Safe</t>
        </is>
      </c>
      <c r="G7" s="95" t="inlineStr">
        <is>
          <t>From Safe</t>
        </is>
      </c>
      <c r="H7" s="95" t="inlineStr">
        <is>
          <t>Net To Safe</t>
        </is>
      </c>
      <c r="I7" s="95" t="inlineStr">
        <is>
          <t>Notes</t>
        </is>
      </c>
    </row>
    <row r="8" ht="20" customHeight="1">
      <c r="A8" s="49" t="n"/>
      <c r="B8" s="96" t="n"/>
      <c r="C8" s="97" t="n"/>
      <c r="D8" s="111" t="n"/>
      <c r="E8" s="111" t="n"/>
      <c r="F8" s="111" t="n"/>
      <c r="G8" s="111" t="n"/>
      <c r="H8" s="111" t="n"/>
      <c r="I8" s="88" t="n"/>
    </row>
    <row r="9" ht="20" customHeight="1">
      <c r="A9" s="49" t="n"/>
      <c r="B9" s="96" t="n"/>
      <c r="C9" s="97" t="n"/>
      <c r="D9" s="111" t="n"/>
      <c r="E9" s="111" t="n"/>
      <c r="F9" s="111" t="n"/>
      <c r="G9" s="111" t="n"/>
      <c r="H9" s="111" t="n"/>
      <c r="I9" s="88" t="n"/>
    </row>
    <row r="10" ht="20" customHeight="1">
      <c r="A10" s="49" t="n"/>
      <c r="B10" s="96" t="n"/>
      <c r="C10" s="97" t="n"/>
      <c r="D10" s="111" t="n"/>
      <c r="E10" s="111" t="n"/>
      <c r="F10" s="111" t="n"/>
      <c r="G10" s="111" t="n"/>
      <c r="H10" s="111" t="n"/>
      <c r="I10" s="88" t="n"/>
    </row>
    <row r="11" ht="20" customHeight="1">
      <c r="A11" s="49" t="n"/>
      <c r="B11" s="96" t="n"/>
      <c r="C11" s="97" t="n"/>
      <c r="D11" s="111" t="n"/>
      <c r="E11" s="111" t="n"/>
      <c r="F11" s="111" t="n"/>
      <c r="G11" s="111" t="n"/>
      <c r="H11" s="111" t="n"/>
      <c r="I11" s="88" t="n"/>
    </row>
    <row r="12" ht="20" customHeight="1">
      <c r="A12" s="49" t="n"/>
      <c r="B12" s="96" t="n"/>
      <c r="C12" s="97" t="n"/>
      <c r="D12" s="111" t="n"/>
      <c r="E12" s="111" t="n"/>
      <c r="F12" s="111" t="n"/>
      <c r="G12" s="111" t="n"/>
      <c r="H12" s="111" t="n"/>
      <c r="I12" s="88" t="n"/>
    </row>
    <row r="13" ht="20" customHeight="1">
      <c r="A13" s="49" t="n"/>
      <c r="B13" s="96" t="n"/>
      <c r="C13" s="97" t="n"/>
      <c r="D13" s="111" t="n"/>
      <c r="E13" s="111" t="n"/>
      <c r="F13" s="111" t="n"/>
      <c r="G13" s="111" t="n"/>
      <c r="H13" s="111" t="n"/>
      <c r="I13" s="88" t="n"/>
    </row>
    <row r="14" ht="20" customHeight="1">
      <c r="A14" s="49" t="n"/>
      <c r="B14" s="96" t="n"/>
      <c r="C14" s="97" t="n"/>
      <c r="D14" s="111" t="n"/>
      <c r="E14" s="111" t="n"/>
      <c r="F14" s="111" t="n"/>
      <c r="G14" s="111" t="n"/>
      <c r="H14" s="111" t="n"/>
      <c r="I14" s="88" t="n"/>
    </row>
    <row r="15" ht="20" customHeight="1">
      <c r="A15" s="49" t="n"/>
      <c r="B15" s="96" t="n"/>
      <c r="C15" s="97" t="n"/>
      <c r="D15" s="111" t="n"/>
      <c r="E15" s="111" t="n"/>
      <c r="F15" s="111" t="n"/>
      <c r="G15" s="111" t="n"/>
      <c r="H15" s="111" t="n"/>
      <c r="I15" s="88" t="n"/>
    </row>
    <row r="16" ht="20" customHeight="1">
      <c r="A16" s="49" t="n"/>
      <c r="B16" s="96" t="n"/>
      <c r="C16" s="97" t="n"/>
      <c r="D16" s="111" t="n"/>
      <c r="E16" s="111" t="n"/>
      <c r="F16" s="111" t="n"/>
      <c r="G16" s="111" t="n"/>
      <c r="H16" s="111" t="n"/>
      <c r="I16" s="88" t="n"/>
    </row>
    <row r="17" ht="20" customHeight="1">
      <c r="A17" s="49" t="n"/>
      <c r="B17" s="96" t="n"/>
      <c r="C17" s="97" t="n"/>
      <c r="D17" s="111" t="n"/>
      <c r="E17" s="111" t="n"/>
      <c r="F17" s="111" t="n"/>
      <c r="G17" s="111" t="n"/>
      <c r="H17" s="111" t="n"/>
      <c r="I17" s="88" t="n"/>
    </row>
    <row r="18" ht="20" customHeight="1">
      <c r="A18" s="49" t="n"/>
      <c r="B18" s="96" t="n"/>
      <c r="C18" s="97" t="n"/>
      <c r="D18" s="111" t="n"/>
      <c r="E18" s="111" t="n"/>
      <c r="F18" s="111" t="n"/>
      <c r="G18" s="111" t="n"/>
      <c r="H18" s="111" t="n"/>
      <c r="I18" s="88" t="n"/>
    </row>
    <row r="19" ht="20" customHeight="1">
      <c r="A19" s="49" t="n"/>
      <c r="B19" s="96" t="n"/>
      <c r="C19" s="97" t="n"/>
      <c r="D19" s="111" t="n"/>
      <c r="E19" s="111" t="n"/>
      <c r="F19" s="111" t="n"/>
      <c r="G19" s="111" t="n"/>
      <c r="H19" s="111" t="n"/>
      <c r="I19" s="88" t="n"/>
    </row>
    <row r="20" ht="20" customHeight="1">
      <c r="A20" s="49" t="n"/>
      <c r="B20" s="96" t="n"/>
      <c r="C20" s="97" t="n"/>
      <c r="D20" s="111" t="n"/>
      <c r="E20" s="111" t="n"/>
      <c r="F20" s="111" t="n"/>
      <c r="G20" s="111" t="n"/>
      <c r="H20" s="111" t="n"/>
      <c r="I20" s="88" t="n"/>
    </row>
    <row r="21" ht="20" customHeight="1">
      <c r="A21" s="49" t="n"/>
      <c r="B21" s="96" t="n"/>
      <c r="C21" s="97" t="n"/>
      <c r="D21" s="111" t="n"/>
      <c r="E21" s="111" t="n"/>
      <c r="F21" s="111" t="n"/>
      <c r="G21" s="111" t="n"/>
      <c r="H21" s="111" t="n"/>
      <c r="I21" s="88" t="n"/>
    </row>
    <row r="22" ht="20" customHeight="1">
      <c r="A22" s="49" t="n"/>
      <c r="B22" s="96" t="n"/>
      <c r="C22" s="97" t="n"/>
      <c r="D22" s="111" t="n"/>
      <c r="E22" s="111" t="n"/>
      <c r="F22" s="111" t="n"/>
      <c r="G22" s="111" t="n"/>
      <c r="H22" s="111" t="n"/>
      <c r="I22" s="88" t="n"/>
    </row>
    <row r="23" ht="20" customHeight="1">
      <c r="A23" s="49" t="n"/>
      <c r="B23" s="96" t="n"/>
      <c r="C23" s="97" t="n"/>
      <c r="D23" s="111" t="n"/>
      <c r="E23" s="111" t="n"/>
      <c r="F23" s="111" t="n"/>
      <c r="G23" s="111" t="n"/>
      <c r="H23" s="111" t="n"/>
      <c r="I23" s="88" t="n"/>
    </row>
    <row r="24" ht="20" customHeight="1">
      <c r="A24" s="49" t="n"/>
      <c r="B24" s="96" t="n"/>
      <c r="C24" s="97" t="n"/>
      <c r="D24" s="111" t="n"/>
      <c r="E24" s="111" t="n"/>
      <c r="F24" s="111" t="n"/>
      <c r="G24" s="111" t="n"/>
      <c r="H24" s="111" t="n"/>
      <c r="I24" s="88" t="n"/>
    </row>
    <row r="25" ht="20" customHeight="1">
      <c r="A25" s="49" t="n"/>
      <c r="B25" s="96" t="n"/>
      <c r="C25" s="97" t="n"/>
      <c r="D25" s="111" t="n"/>
      <c r="E25" s="111" t="n"/>
      <c r="F25" s="111" t="n"/>
      <c r="G25" s="111" t="n"/>
      <c r="H25" s="111" t="n"/>
      <c r="I25" s="88" t="n"/>
    </row>
    <row r="26" ht="20" customHeight="1">
      <c r="A26" s="49" t="n"/>
      <c r="B26" s="96" t="n"/>
      <c r="C26" s="97" t="n"/>
      <c r="D26" s="111" t="n"/>
      <c r="E26" s="111" t="n"/>
      <c r="F26" s="111" t="n"/>
      <c r="G26" s="111" t="n"/>
      <c r="H26" s="111" t="n"/>
      <c r="I26" s="88" t="n"/>
    </row>
    <row r="27" ht="20" customHeight="1">
      <c r="A27" s="49" t="n"/>
      <c r="B27" s="96" t="n"/>
      <c r="C27" s="97" t="n"/>
      <c r="D27" s="111" t="n"/>
      <c r="E27" s="111" t="n"/>
      <c r="F27" s="111" t="n"/>
      <c r="G27" s="111" t="n"/>
      <c r="H27" s="111" t="n"/>
      <c r="I27" s="88" t="n"/>
    </row>
    <row r="28" ht="20" customHeight="1">
      <c r="A28" s="49" t="n"/>
      <c r="B28" s="96" t="n"/>
      <c r="C28" s="97" t="n"/>
      <c r="D28" s="111" t="n"/>
      <c r="E28" s="111" t="n"/>
      <c r="F28" s="111" t="n"/>
      <c r="G28" s="111" t="n"/>
      <c r="H28" s="111" t="n"/>
      <c r="I28" s="88" t="n"/>
    </row>
    <row r="29" ht="20" customHeight="1">
      <c r="A29" s="49" t="n"/>
      <c r="B29" s="96" t="n"/>
      <c r="C29" s="97" t="n"/>
      <c r="D29" s="111" t="n"/>
      <c r="E29" s="111" t="n"/>
      <c r="F29" s="111" t="n"/>
      <c r="G29" s="111" t="n"/>
      <c r="H29" s="111" t="n"/>
      <c r="I29" s="88" t="n"/>
    </row>
    <row r="30" ht="20" customHeight="1">
      <c r="A30" s="49" t="n"/>
      <c r="B30" s="96" t="n"/>
      <c r="C30" s="97" t="n"/>
      <c r="D30" s="111" t="n"/>
      <c r="E30" s="111" t="n"/>
      <c r="F30" s="111" t="n"/>
      <c r="G30" s="111" t="n"/>
      <c r="H30" s="111" t="n"/>
      <c r="I30" s="88" t="n"/>
    </row>
    <row r="31" ht="20" customHeight="1">
      <c r="A31" s="49" t="n"/>
      <c r="B31" s="96" t="n"/>
      <c r="C31" s="97" t="n"/>
      <c r="D31" s="111" t="n"/>
      <c r="E31" s="111" t="n"/>
      <c r="F31" s="111" t="n"/>
      <c r="G31" s="111" t="n"/>
      <c r="H31" s="111" t="n"/>
      <c r="I31" s="88" t="n"/>
    </row>
    <row r="32" ht="20" customHeight="1">
      <c r="A32" s="49" t="n"/>
      <c r="B32" s="96" t="n"/>
      <c r="C32" s="97" t="n"/>
      <c r="D32" s="111" t="n"/>
      <c r="E32" s="111" t="n"/>
      <c r="F32" s="111" t="n"/>
      <c r="G32" s="111" t="n"/>
      <c r="H32" s="111" t="n"/>
      <c r="I32" s="88" t="n"/>
    </row>
    <row r="33" ht="20" customHeight="1">
      <c r="A33" s="49" t="n"/>
      <c r="B33" s="96" t="n"/>
      <c r="C33" s="97" t="n"/>
      <c r="D33" s="111" t="n"/>
      <c r="E33" s="111" t="n"/>
      <c r="F33" s="111" t="n"/>
      <c r="G33" s="111" t="n"/>
      <c r="H33" s="111" t="n"/>
      <c r="I33" s="88" t="n"/>
    </row>
    <row r="34" ht="20" customHeight="1">
      <c r="A34" s="49" t="n"/>
      <c r="B34" s="96" t="n"/>
      <c r="C34" s="97" t="n"/>
      <c r="D34" s="111" t="n"/>
      <c r="E34" s="111" t="n"/>
      <c r="F34" s="111" t="n"/>
      <c r="G34" s="111" t="n"/>
      <c r="H34" s="111" t="n"/>
      <c r="I34" s="88" t="n"/>
    </row>
    <row r="35" ht="20" customHeight="1">
      <c r="A35" s="49" t="n"/>
      <c r="B35" s="96" t="n"/>
      <c r="C35" s="97" t="n"/>
      <c r="D35" s="111" t="n"/>
      <c r="E35" s="111" t="n"/>
      <c r="F35" s="111" t="n"/>
      <c r="G35" s="111" t="n"/>
      <c r="H35" s="111" t="n"/>
      <c r="I35" s="88" t="n"/>
    </row>
    <row r="36" ht="20" customHeight="1">
      <c r="A36" s="49" t="n"/>
      <c r="B36" s="96" t="n"/>
      <c r="C36" s="97" t="n"/>
      <c r="D36" s="111" t="n"/>
      <c r="E36" s="111" t="n"/>
      <c r="F36" s="111" t="n"/>
      <c r="G36" s="111" t="n"/>
      <c r="H36" s="111" t="n"/>
      <c r="I36" s="88" t="n"/>
    </row>
    <row r="37" ht="20" customHeight="1">
      <c r="A37" s="49" t="n"/>
      <c r="B37" s="96" t="n"/>
      <c r="C37" s="97" t="n"/>
      <c r="D37" s="111" t="n"/>
      <c r="E37" s="111" t="n"/>
      <c r="F37" s="111" t="n"/>
      <c r="G37" s="111" t="n"/>
      <c r="H37" s="111" t="n"/>
      <c r="I37" s="88" t="n"/>
    </row>
  </sheetData>
  <autoFilter ref="B7:I37"/>
  <mergeCells count="3">
    <mergeCell ref="B3:I3"/>
    <mergeCell ref="B5:I5"/>
    <mergeCell ref="B2:I2"/>
  </mergeCells>
  <dataValidations count="2">
    <dataValidation sqref="B8:B37" showDropDown="0" showInputMessage="0" showErrorMessage="0" allowBlank="1" type="date" operator="between">
      <formula1>DATE(2020,1,1)</formula1>
      <formula2>DATE(2100,12,31)</formula2>
    </dataValidation>
    <dataValidation sqref="D8:H37" showDropDown="0" showInputMessage="0" showErrorMessage="0" allowBlank="1" type="decimal" operator="between">
      <formula1>-100000</formula1>
      <formula2>100000</formula2>
    </dataValidation>
  </dataValidations>
  <pageMargins left="0.25" right="0.25" top="0.45" bottom="0.45" header="0.2" footer="0.2"/>
  <pageSetup orientation="landscape" paperSize="1" fitToHeight="1" fitToWidth="1"/>
  <headerFooter>
    <oddHeader/>
    <oddFooter>&amp;CPage &amp;P of &amp;N&amp;RCanadian Cash Register Close-Out</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Canadian Cash Register Close-Out</dc:title>
  <dc:description xmlns:dc="http://purl.org/dc/elements/1.1/">Fully editable Canadian cash-count and register close-out workbook; pennies excluded.</dc:description>
  <dc:subject xmlns:dc="http://purl.org/dc/elements/1.1/">Canadian daily register cash count, safe deposit, and configured till float worksheet</dc:subject>
  <dcterms:created xmlns:dcterms="http://purl.org/dc/terms/" xmlns:xsi="http://www.w3.org/2001/XMLSchema-instance" xsi:type="dcterms:W3CDTF">2026-10-23T00:02:36Z</dcterms:created>
  <dcterms:modified xmlns:dcterms="http://purl.org/dc/terms/" xmlns:xsi="http://www.w3.org/2001/XMLSchema-instance" xsi:type="dcterms:W3CDTF">2026-10-23T00:07:48Z</dcterms:modified>
</cp:coreProperties>
</file>