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0" lockWindows="0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meture de caisse" sheetId="1" state="visible" r:id="rId1"/>
  </sheets>
  <definedNames>
    <definedName name="_xlnm.Print_Area" localSheetId="0">'Fermeture de caisse'!$A$1:$C$29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 &quot;CAD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7365D"/>
      <sz val="16"/>
    </font>
    <font>
      <name val="Arial"/>
      <color rgb="001F1F1F"/>
      <sz val="16"/>
    </font>
    <font>
      <name val="Arial"/>
      <b val="1"/>
      <color rgb="001F1F1F"/>
      <sz val="16"/>
    </font>
    <font>
      <name val="Arial"/>
      <b val="1"/>
      <color rgb="0017365D"/>
      <sz val="18"/>
    </font>
    <font>
      <name val="Arial"/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medium">
        <color rgb="00A6A6A6"/>
      </top>
      <bottom style="medium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left" vertical="center" wrapText="1" indent="1"/>
      <protection locked="0" hidden="0"/>
    </xf>
    <xf numFmtId="0" fontId="4" fillId="0" borderId="0" applyAlignment="1" applyProtection="1" pivotButton="0" quotePrefix="0" xfId="0">
      <alignment horizontal="left" vertical="center" wrapText="1" indent="1"/>
      <protection locked="0" hidden="0"/>
    </xf>
    <xf numFmtId="164" fontId="5" fillId="3" borderId="0" applyAlignment="1" applyProtection="1" pivotButton="0" quotePrefix="0" xfId="0">
      <alignment horizontal="center" vertical="center" wrapText="1"/>
      <protection locked="0" hidden="0"/>
    </xf>
    <xf numFmtId="0" fontId="2" fillId="4" borderId="0" applyAlignment="1" applyProtection="1" pivotButton="0" quotePrefix="0" xfId="0">
      <alignment horizontal="left" vertical="center" wrapText="1" inden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165" fontId="3" fillId="0" borderId="2" applyAlignment="1" applyProtection="1" pivotButton="0" quotePrefix="0" xfId="0">
      <alignment horizontal="right" vertical="center"/>
      <protection locked="0" hidden="0"/>
    </xf>
    <xf numFmtId="1" fontId="5" fillId="3" borderId="2" applyAlignment="1" applyProtection="1" pivotButton="0" quotePrefix="0" xfId="0">
      <alignment horizontal="center" vertical="center" wrapText="1"/>
      <protection locked="0" hidden="0"/>
    </xf>
    <xf numFmtId="165" fontId="4" fillId="0" borderId="2" applyAlignment="1" applyProtection="1" pivotButton="0" quotePrefix="0" xfId="0">
      <alignment horizontal="right" vertical="center"/>
      <protection locked="0" hidden="0"/>
    </xf>
    <xf numFmtId="0" fontId="4" fillId="0" borderId="2" applyAlignment="1" applyProtection="1" pivotButton="0" quotePrefix="0" xfId="0">
      <alignment horizontal="left" vertical="center" wrapText="1" indent="1"/>
      <protection locked="0" hidden="0"/>
    </xf>
    <xf numFmtId="0" fontId="0" fillId="0" borderId="2" applyProtection="1" pivotButton="0" quotePrefix="0" xfId="0">
      <protection locked="0" hidden="0"/>
    </xf>
    <xf numFmtId="165" fontId="2" fillId="5" borderId="2" applyAlignment="1" applyProtection="1" pivotButton="0" quotePrefix="0" xfId="0">
      <alignment horizontal="right" vertical="center"/>
      <protection locked="0" hidden="0"/>
    </xf>
    <xf numFmtId="165" fontId="5" fillId="3" borderId="2" applyAlignment="1" applyProtection="1" pivotButton="0" quotePrefix="0" xfId="0">
      <alignment horizontal="right" vertical="center"/>
      <protection locked="0" hidden="0"/>
    </xf>
    <xf numFmtId="0" fontId="4" fillId="6" borderId="1" applyAlignment="1" applyProtection="1" pivotButton="0" quotePrefix="0" xfId="0">
      <alignment horizontal="left" vertical="center" wrapText="1" indent="1"/>
      <protection locked="0" hidden="0"/>
    </xf>
    <xf numFmtId="0" fontId="0" fillId="6" borderId="1" applyProtection="1" pivotButton="0" quotePrefix="0" xfId="0">
      <protection locked="0" hidden="0"/>
    </xf>
    <xf numFmtId="0" fontId="4" fillId="3" borderId="0" applyAlignment="1" applyProtection="1" pivotButton="0" quotePrefix="0" xfId="0">
      <alignment horizontal="left" vertical="center" wrapText="1" inden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C29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1" customWidth="1" min="3" max="3"/>
  </cols>
  <sheetData>
    <row r="1" ht="34" customHeight="1">
      <c r="A1" s="1" t="inlineStr">
        <is>
          <t>FERMETURE DE CAISSE</t>
        </is>
      </c>
      <c r="B1" s="2" t="n"/>
      <c r="C1" s="2" t="n"/>
    </row>
    <row r="2" ht="27" customHeight="1">
      <c r="A2" s="3" t="inlineStr">
        <is>
          <t>Formulaire vertical à grands caractères — dollars canadiens (CAD)</t>
        </is>
      </c>
      <c r="B2" s="2" t="n"/>
      <c r="C2" s="2" t="n"/>
    </row>
    <row r="3" ht="29" customHeight="1">
      <c r="A3" s="4" t="inlineStr">
        <is>
          <t>1. Comptez chaque coupure ou pièce. Entrez 0 si elle est absente; la pièce de 1 ¢ n'est pas utilisée.</t>
        </is>
      </c>
      <c r="B3" s="2" t="n"/>
      <c r="C3" s="2" t="n"/>
    </row>
    <row r="4" ht="30" customHeight="1">
      <c r="A4" s="5" t="inlineStr">
        <is>
          <t>Date (yyyy-mm-dd)</t>
        </is>
      </c>
      <c r="B4" s="2" t="n"/>
      <c r="C4" s="6" t="n">
        <v>46322</v>
      </c>
    </row>
    <row r="5" ht="31" customHeight="1">
      <c r="A5" s="4" t="inlineStr">
        <is>
          <t>2. Vous choisissez les coupures ou pièces à retirer; le formulaire indique seulement le montant à déplacer.</t>
        </is>
      </c>
      <c r="B5" s="2" t="n"/>
      <c r="C5" s="2" t="n"/>
    </row>
    <row r="6" ht="25" customHeight="1">
      <c r="A6" s="7" t="inlineStr">
        <is>
          <t>COMPTAGE DU TIROIR</t>
        </is>
      </c>
      <c r="B6" s="2" t="n"/>
      <c r="C6" s="2" t="n"/>
    </row>
    <row r="7" ht="32" customHeight="1">
      <c r="A7" s="8" t="inlineStr">
        <is>
          <t>Dénomination</t>
        </is>
      </c>
      <c r="B7" s="8" t="inlineStr">
        <is>
          <t>Quantité</t>
        </is>
      </c>
      <c r="C7" s="8" t="inlineStr">
        <is>
          <t>Montant compté</t>
        </is>
      </c>
    </row>
    <row r="8" ht="33" customHeight="1">
      <c r="A8" s="9" t="n">
        <v>100</v>
      </c>
      <c r="B8" s="10" t="n"/>
      <c r="C8" s="11">
        <f>IFERROR(IF(OR(B8="",B8&lt;0,B8&lt;&gt;INT(B8)),"",A8*B8),"")</f>
        <v/>
      </c>
    </row>
    <row r="9" ht="33" customHeight="1">
      <c r="A9" s="9" t="n">
        <v>50</v>
      </c>
      <c r="B9" s="10" t="n"/>
      <c r="C9" s="11">
        <f>IFERROR(IF(OR(B9="",B9&lt;0,B9&lt;&gt;INT(B9)),"",A9*B9),"")</f>
        <v/>
      </c>
    </row>
    <row r="10" ht="33" customHeight="1">
      <c r="A10" s="9" t="n">
        <v>20</v>
      </c>
      <c r="B10" s="10" t="n"/>
      <c r="C10" s="11">
        <f>IFERROR(IF(OR(B10="",B10&lt;0,B10&lt;&gt;INT(B10)),"",A10*B10),"")</f>
        <v/>
      </c>
    </row>
    <row r="11" ht="33" customHeight="1">
      <c r="A11" s="9" t="n">
        <v>10</v>
      </c>
      <c r="B11" s="10" t="n"/>
      <c r="C11" s="11">
        <f>IFERROR(IF(OR(B11="",B11&lt;0,B11&lt;&gt;INT(B11)),"",A11*B11),"")</f>
        <v/>
      </c>
    </row>
    <row r="12" ht="33" customHeight="1">
      <c r="A12" s="9" t="n">
        <v>5</v>
      </c>
      <c r="B12" s="10" t="n"/>
      <c r="C12" s="11">
        <f>IFERROR(IF(OR(B12="",B12&lt;0,B12&lt;&gt;INT(B12)),"",A12*B12),"")</f>
        <v/>
      </c>
    </row>
    <row r="13" ht="33" customHeight="1">
      <c r="A13" s="9" t="n">
        <v>2</v>
      </c>
      <c r="B13" s="10" t="n"/>
      <c r="C13" s="11">
        <f>IFERROR(IF(OR(B13="",B13&lt;0,B13&lt;&gt;INT(B13)),"",A13*B13),"")</f>
        <v/>
      </c>
    </row>
    <row r="14" ht="33" customHeight="1">
      <c r="A14" s="9" t="n">
        <v>1</v>
      </c>
      <c r="B14" s="10" t="n"/>
      <c r="C14" s="11">
        <f>IFERROR(IF(OR(B14="",B14&lt;0,B14&lt;&gt;INT(B14)),"",A14*B14),"")</f>
        <v/>
      </c>
    </row>
    <row r="15" ht="33" customHeight="1">
      <c r="A15" s="9" t="n">
        <v>0.25</v>
      </c>
      <c r="B15" s="10" t="n"/>
      <c r="C15" s="11">
        <f>IFERROR(IF(OR(B15="",B15&lt;0,B15&lt;&gt;INT(B15)),"",A15*B15),"")</f>
        <v/>
      </c>
    </row>
    <row r="16" ht="33" customHeight="1">
      <c r="A16" s="9" t="n">
        <v>0.1</v>
      </c>
      <c r="B16" s="10" t="n"/>
      <c r="C16" s="11">
        <f>IFERROR(IF(OR(B16="",B16&lt;0,B16&lt;&gt;INT(B16)),"",A16*B16),"")</f>
        <v/>
      </c>
    </row>
    <row r="17" ht="33" customHeight="1">
      <c r="A17" s="9" t="n">
        <v>0.05</v>
      </c>
      <c r="B17" s="10" t="n"/>
      <c r="C17" s="11">
        <f>IFERROR(IF(OR(B17="",B17&lt;0,B17&lt;&gt;INT(B17)),"",A17*B17),"")</f>
        <v/>
      </c>
    </row>
    <row r="18" ht="8" customHeight="1">
      <c r="A18" s="2" t="n"/>
      <c r="B18" s="2" t="n"/>
      <c r="C18" s="2" t="n"/>
    </row>
    <row r="19" ht="35" customHeight="1">
      <c r="A19" s="12" t="inlineStr">
        <is>
          <t>Total compté</t>
        </is>
      </c>
      <c r="B19" s="13" t="n"/>
      <c r="C19" s="14">
        <f>IFERROR(IF(AND(COUNT($B$8:$B$17)=10,SUMPRODUCT(--($B$8:$B$17&gt;=0))=10,SUMPRODUCT(--($B$8:$B$17=INT($B$8:$B$17)))=10,ISNUMBER($C$21),$C$21&gt;=0,MOD($C$21,0.05)=0),SUM($C$8:$C$17),""),"")</f>
        <v/>
      </c>
    </row>
    <row r="20" ht="8" customHeight="1">
      <c r="A20" s="2" t="n"/>
      <c r="B20" s="2" t="n"/>
      <c r="C20" s="2" t="n"/>
    </row>
    <row r="21" ht="35" customHeight="1">
      <c r="A21" s="12" t="inlineStr">
        <is>
          <t>Fonds de caisse à conserver (modifiable)</t>
        </is>
      </c>
      <c r="B21" s="13" t="n"/>
      <c r="C21" s="15" t="n">
        <v>250</v>
      </c>
    </row>
    <row r="22" ht="8" customHeight="1">
      <c r="A22" s="2" t="n"/>
      <c r="B22" s="2" t="n"/>
      <c r="C22" s="2" t="n"/>
    </row>
    <row r="23" ht="35" customHeight="1">
      <c r="A23" s="12" t="inlineStr">
        <is>
          <t>Argent à mettre au coffre</t>
        </is>
      </c>
      <c r="B23" s="13" t="n"/>
      <c r="C23" s="14">
        <f>IFERROR(IF(AND(COUNT($B$8:$B$17)=10,SUMPRODUCT(--($B$8:$B$17&gt;=0))=10,SUMPRODUCT(--($B$8:$B$17=INT($B$8:$B$17)))=10,ISNUMBER($C$21),$C$21&gt;=0,MOD($C$21,0.05)=0),MAX($C$19-$C$21,0),""),"")</f>
        <v/>
      </c>
    </row>
    <row r="24" ht="35" customHeight="1">
      <c r="A24" s="12" t="inlineStr">
        <is>
          <t>Argent à prendre du coffre</t>
        </is>
      </c>
      <c r="B24" s="13" t="n"/>
      <c r="C24" s="14">
        <f>IFERROR(IF(AND(COUNT($B$8:$B$17)=10,SUMPRODUCT(--($B$8:$B$17&gt;=0))=10,SUMPRODUCT(--($B$8:$B$17=INT($B$8:$B$17)))=10,ISNUMBER($C$21),$C$21&gt;=0,MOD($C$21,0.05)=0),MAX($C$21-$C$19,0),""),"")</f>
        <v/>
      </c>
    </row>
    <row r="25" ht="35" customHeight="1">
      <c r="A25" s="12" t="inlineStr">
        <is>
          <t>Reste théorique après le mouvement</t>
        </is>
      </c>
      <c r="B25" s="13" t="n"/>
      <c r="C25" s="14">
        <f>IFERROR(IF(AND(COUNT($B$8:$B$17)=10,SUMPRODUCT(--($B$8:$B$17&gt;=0))=10,SUMPRODUCT(--($B$8:$B$17=INT($B$8:$B$17)))=10,ISNUMBER($C$21),$C$21&gt;=0,MOD($C$21,0.05)=0),$C$19-$C$23+$C$24,""),"")</f>
        <v/>
      </c>
    </row>
    <row r="26" ht="8" customHeight="1">
      <c r="A26" s="2" t="n"/>
      <c r="B26" s="2" t="n"/>
      <c r="C26" s="2" t="n"/>
    </row>
    <row r="27" ht="76" customHeight="1">
      <c r="A27" s="16">
        <f>IFERROR(IF(COUNT($B$8:$B$17)&lt;&gt;10,"À compléter : entrez une quantité entière pour chaque ligne, y compris 0.",IF(OR(SUMPRODUCT(--($B$8:$B$17&lt;0))&gt;0,SUMPRODUCT(--($B$8:$B$17&lt;&gt;INT($B$8:$B$17)))&gt;0,NOT(ISNUMBER($C$21)),$C$21&lt;0,MOD($C$21,0.05)&lt;&gt;0),"Corriger : les quantités doivent être des entiers non négatifs et le fonds doit être un multiple de 0,05 $ CAD.","Prêt : tous les calculs sont affichés.")), "Corriger : les quantités doivent être des entiers non négatifs et le fonds doit être un multiple de 0,05 $ CAD.")</f>
        <v/>
      </c>
      <c r="B27" s="17" t="n"/>
      <c r="C27" s="17" t="n"/>
    </row>
    <row r="28" ht="8" customHeight="1">
      <c r="A28" s="2" t="n"/>
      <c r="B28" s="2" t="n"/>
      <c r="C28" s="2" t="n"/>
    </row>
    <row r="29" ht="54" customHeight="1">
      <c r="A29" s="18" t="inlineStr">
        <is>
          <t>Recomptez le tiroir après le mouvement; le total affiché est une cible, pas une vérification physique.</t>
        </is>
      </c>
      <c r="B29" s="2" t="n"/>
      <c r="C29" s="2" t="n"/>
    </row>
  </sheetData>
  <mergeCells count="7">
    <mergeCell ref="A4:B4"/>
    <mergeCell ref="A1:C1"/>
    <mergeCell ref="A5:C5"/>
    <mergeCell ref="A6:C6"/>
    <mergeCell ref="A3:C3"/>
    <mergeCell ref="A29:C29"/>
    <mergeCell ref="A2:C2"/>
  </mergeCells>
  <conditionalFormatting sqref="A27:C27">
    <cfRule type="expression" priority="1" dxfId="0">
      <formula>$A$27="Prêt : tous les calculs sont affichés."</formula>
    </cfRule>
  </conditionalFormatting>
  <dataValidations count="2">
    <dataValidation sqref="B8:B17" showDropDown="0" showInputMessage="0" showErrorMessage="1" allowBlank="1" errorTitle="Quantité invalide" error="Entrez un entier non négatif. Entrez 0 lorsqu'une coupure ou pièce est absente." promptTitle="Quantité" prompt="Entrez le nombre de coupures ou pièces; 0 si aucune." type="whole" errorStyle="stop" operator="greaterThanOrEqual">
      <formula1>0</formula1>
    </dataValidation>
    <dataValidation sqref="C21" showDropDown="0" showInputMessage="0" showErrorMessage="1" allowBlank="0" errorTitle="Fonds invalide" error="Entrez un montant non négatif en multiples de 0,05 $ CAD." promptTitle="Fonds de caisse" prompt="Modifiez le fonds à conserver au besoin (multiples de 0,05 $)." type="custom" errorStyle="stop">
      <formula1>AND(C21&gt;=0,MOD(C21,0.05)=0)</formula1>
    </dataValidation>
  </dataValidations>
  <printOptions horizontalCentered="1"/>
  <pageMargins left="0.25" right="0.25" top="0.25" bottom="0.25" header="0.1" footer="0.1"/>
  <pageSetup orientation="portrait" paperSize="5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Manus</dc:creator>
  <dc:title xmlns:dc="http://purl.org/dc/elements/1.1/">Fermeture de caisse — grands caractères</dc:title>
  <dc:subject xmlns:dc="http://purl.org/dc/elements/1.1/">Formulaire vertical de comptage de caisse en dollars canadiens</dc:subject>
  <dc:language xmlns:dc="http://purl.org/dc/elements/1.1/">fr-CA</dc:language>
  <dcterms:created xmlns:dcterms="http://purl.org/dc/terms/" xmlns:xsi="http://www.w3.org/2001/XMLSchema-instance" xsi:type="dcterms:W3CDTF">2026-10-27T12:42:54Z</dcterms:created>
  <dcterms:modified xmlns:dcterms="http://purl.org/dc/terms/" xmlns:xsi="http://www.w3.org/2001/XMLSchema-instance" xsi:type="dcterms:W3CDTF">2026-10-27T12:42:54Z</dcterms:modified>
</cp:coreProperties>
</file>