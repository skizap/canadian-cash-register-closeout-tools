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meture simple" sheetId="1" state="visible" r:id="rId1"/>
  </sheets>
  <definedNames>
    <definedName name="_xlnm.Print_Area" localSheetId="0">'Fermeture simple'!$B$2:$J$23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 $ CA&quot;;[Red](#,##0.00 &quot; $ CA&quot;);-"/>
    <numFmt numFmtId="166" formatCode="#,##0;[Red](#,##0);0"/>
  </numFmts>
  <fonts count="10">
    <font>
      <name val="Calibri"/>
      <family val="2"/>
      <color theme="1"/>
      <sz val="11"/>
      <scheme val="minor"/>
    </font>
    <font>
      <name val="Georgia"/>
      <b val="1"/>
      <color rgb="001F4E79"/>
      <sz val="21"/>
    </font>
    <font>
      <name val="Calibri"/>
      <i val="1"/>
      <color rgb="00666666"/>
      <sz val="11"/>
    </font>
    <font>
      <name val="Calibri"/>
      <b val="1"/>
      <sz val="11"/>
    </font>
    <font>
      <name val="Georgia"/>
      <b val="1"/>
      <color rgb="001F4E79"/>
      <sz val="13"/>
    </font>
    <font>
      <name val="Georgia"/>
      <b val="1"/>
      <color rgb="00FFFFFF"/>
      <sz val="10"/>
    </font>
    <font>
      <name val="Calibri"/>
      <sz val="11"/>
    </font>
    <font>
      <name val="Calibri"/>
      <b val="1"/>
      <sz val="12"/>
    </font>
    <font>
      <name val="Georgia"/>
      <b val="1"/>
      <color rgb="001F4E79"/>
      <sz val="12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FFFDE7"/>
      </patternFill>
    </fill>
    <fill>
      <patternFill patternType="solid">
        <fgColor rgb="00FFCCBC"/>
      </patternFill>
    </fill>
    <fill>
      <patternFill patternType="solid">
        <fgColor rgb="001F4E79"/>
      </patternFill>
    </fill>
    <fill>
      <patternFill patternType="solid">
        <fgColor rgb="00F4F8FB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  <border>
      <left/>
      <right/>
      <top style="thin">
        <color rgb="00C9D2D9"/>
      </top>
      <bottom style="thin">
        <color rgb="00C9D2D9"/>
      </bottom>
    </border>
    <border>
      <left style="thin">
        <color rgb="00C9D2D9"/>
      </left>
      <right/>
      <top style="thin">
        <color rgb="00C9D2D9"/>
      </top>
      <bottom style="thin">
        <color rgb="00C9D2D9"/>
      </bottom>
    </border>
    <border>
      <left/>
      <right style="thin">
        <color rgb="00C9D2D9"/>
      </right>
      <top style="thin">
        <color rgb="00C9D2D9"/>
      </top>
      <bottom style="thin">
        <color rgb="00C9D2D9"/>
      </bottom>
    </border>
    <border>
      <left style="thin">
        <color rgb="00C9D2D9"/>
      </left>
      <right/>
      <top style="medium">
        <color rgb="001F4E79"/>
      </top>
      <bottom style="thin">
        <color rgb="00C9D2D9"/>
      </bottom>
    </border>
    <border>
      <left/>
      <right/>
      <top style="medium">
        <color rgb="001F4E79"/>
      </top>
      <bottom style="thin">
        <color rgb="00C9D2D9"/>
      </bottom>
    </border>
    <border>
      <left/>
      <right style="thin">
        <color rgb="00C9D2D9"/>
      </right>
      <top style="medium">
        <color rgb="001F4E79"/>
      </top>
      <bottom style="thin">
        <color rgb="00C9D2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0" fontId="3" fillId="2" borderId="1" applyAlignment="1" applyProtection="1" pivotButton="0" quotePrefix="0" xfId="0">
      <alignment horizontal="left" vertical="center" indent="1"/>
      <protection locked="0" hidden="0"/>
    </xf>
    <xf numFmtId="164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left" vertical="center" indent="1"/>
      <protection locked="0" hidden="0"/>
    </xf>
    <xf numFmtId="0" fontId="3" fillId="4" borderId="3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left" vertical="center" indent="1"/>
      <protection locked="0" hidden="0"/>
    </xf>
    <xf numFmtId="0" fontId="5" fillId="5" borderId="0" applyAlignment="1" applyProtection="1" pivotButton="0" quotePrefix="0" xfId="0">
      <alignment horizontal="center" vertical="center" wrapText="1"/>
      <protection locked="0" hidden="0"/>
    </xf>
    <xf numFmtId="0" fontId="3" fillId="6" borderId="3" applyAlignment="1" applyProtection="1" pivotButton="0" quotePrefix="0" xfId="0">
      <alignment horizontal="left" vertical="center" indent="1"/>
      <protection locked="0" hidden="0"/>
    </xf>
    <xf numFmtId="165" fontId="7" fillId="7" borderId="4" applyAlignment="1" applyProtection="1" pivotButton="0" quotePrefix="0" xfId="0">
      <alignment horizontal="right" vertical="center"/>
      <protection locked="0" hidden="0"/>
    </xf>
    <xf numFmtId="0" fontId="6" fillId="0" borderId="3" applyAlignment="1" applyProtection="1" pivotButton="0" quotePrefix="0" xfId="0">
      <alignment horizontal="left" vertical="center" indent="1"/>
      <protection locked="0" hidden="0"/>
    </xf>
    <xf numFmtId="165" fontId="6" fillId="0" borderId="2" applyAlignment="1" applyProtection="1" pivotButton="0" quotePrefix="0" xfId="0">
      <alignment horizontal="right" vertical="center"/>
      <protection locked="0" hidden="0"/>
    </xf>
    <xf numFmtId="166" fontId="6" fillId="3" borderId="2" applyAlignment="1" applyProtection="1" pivotButton="0" quotePrefix="0" xfId="0">
      <alignment horizontal="right" vertical="center"/>
      <protection locked="0" hidden="0"/>
    </xf>
    <xf numFmtId="165" fontId="6" fillId="0" borderId="4" applyAlignment="1" applyProtection="1" pivotButton="0" quotePrefix="0" xfId="0">
      <alignment horizontal="right" vertical="center"/>
      <protection locked="0" hidden="0"/>
    </xf>
    <xf numFmtId="165" fontId="7" fillId="3" borderId="4" applyAlignment="1" applyProtection="1" pivotButton="0" quotePrefix="0" xfId="0">
      <alignment horizontal="right" vertical="center"/>
      <protection locked="0" hidden="0"/>
    </xf>
    <xf numFmtId="165" fontId="7" fillId="8" borderId="4" applyAlignment="1" applyProtection="1" pivotButton="0" quotePrefix="0" xfId="0">
      <alignment horizontal="right" vertical="center"/>
      <protection locked="0" hidden="0"/>
    </xf>
    <xf numFmtId="165" fontId="7" fillId="9" borderId="4" applyAlignment="1" applyProtection="1" pivotButton="0" quotePrefix="0" xfId="0">
      <alignment horizontal="right" vertical="center"/>
      <protection locked="0" hidden="0"/>
    </xf>
    <xf numFmtId="165" fontId="7" fillId="2" borderId="4" applyAlignment="1" applyProtection="1" pivotButton="0" quotePrefix="0" xfId="0">
      <alignment horizontal="right" vertical="center"/>
      <protection locked="0" hidden="0"/>
    </xf>
    <xf numFmtId="0" fontId="8" fillId="2" borderId="0" applyAlignment="1" applyProtection="1" pivotButton="0" quotePrefix="0" xfId="0">
      <alignment horizontal="left" vertical="center" indent="1"/>
      <protection locked="0" hidden="0"/>
    </xf>
    <xf numFmtId="0" fontId="9" fillId="6" borderId="3" applyAlignment="1" applyProtection="1" pivotButton="0" quotePrefix="0" xfId="0">
      <alignment horizontal="left" vertical="center" wrapText="1" indent="1"/>
      <protection locked="0" hidden="0"/>
    </xf>
    <xf numFmtId="0" fontId="0" fillId="0" borderId="3" applyProtection="1" pivotButton="0" quotePrefix="0" xfId="0">
      <protection locked="0" hidden="0"/>
    </xf>
    <xf numFmtId="0" fontId="3" fillId="2" borderId="5" applyAlignment="1" applyProtection="1" pivotButton="0" quotePrefix="0" xfId="0">
      <alignment horizontal="left" vertical="center" indent="1"/>
      <protection locked="0" hidden="0"/>
    </xf>
    <xf numFmtId="0" fontId="3" fillId="2" borderId="6" applyAlignment="1" applyProtection="1" pivotButton="0" quotePrefix="0" xfId="0">
      <alignment horizontal="right" vertical="center"/>
      <protection locked="0" hidden="0"/>
    </xf>
    <xf numFmtId="165" fontId="3" fillId="2" borderId="7" applyAlignment="1" applyProtection="1" pivotButton="0" quotePrefix="0" xfId="0">
      <alignment horizontal="right" vertical="center"/>
      <protection locked="0" hidden="0"/>
    </xf>
    <xf numFmtId="0" fontId="9" fillId="0" borderId="0" applyAlignment="1" applyProtection="1" pivotButton="0" quotePrefix="0" xfId="0">
      <alignment horizontal="left" vertical="center" wrapText="1" indent="1"/>
      <protection locked="0" hidden="0"/>
    </xf>
    <xf numFmtId="0" fontId="9" fillId="0" borderId="0" applyAlignment="1" applyProtection="1" pivotButton="0" quotePrefix="0" xfId="0">
      <alignment horizontal="left" vertical="center" indent="1"/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FCCB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7" customWidth="1" min="5" max="5"/>
    <col width="4" customWidth="1" min="6" max="6"/>
    <col width="29" customWidth="1" min="7" max="7"/>
    <col width="4" customWidth="1" min="8" max="8"/>
    <col width="4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>
      <c r="A2" s="1" t="n"/>
      <c r="B2" s="2" t="inlineStr">
        <is>
          <t>Fermeture de caisse — version simple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4" customHeight="1">
      <c r="A3" s="1" t="n"/>
      <c r="B3" s="3" t="inlineStr">
        <is>
          <t>Dollars canadiens (CAD) seulement • Les pièces de 1 ¢ ne sont pas utilisées • Remplissez les cases jaunes.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4" customHeight="1">
      <c r="A5" s="1" t="n"/>
      <c r="B5" s="4" t="inlineStr">
        <is>
          <t>Date</t>
        </is>
      </c>
      <c r="C5" s="5" t="n"/>
      <c r="D5" s="6" t="n"/>
      <c r="E5" s="4" t="inlineStr">
        <is>
          <t>Employé(e)</t>
        </is>
      </c>
      <c r="F5" s="7" t="n"/>
      <c r="G5" s="4" t="inlineStr">
        <is>
          <t>État</t>
        </is>
      </c>
      <c r="H5" s="8">
        <f>IF(COUNT(D8:D17)&lt;COUNTA(B8:B17),"REMPLIR TOUTES LES QUANTITÉS","COMPTE TERMINÉ")</f>
        <v/>
      </c>
      <c r="I5" s="6" t="n"/>
      <c r="J5" s="9" t="n"/>
    </row>
    <row r="6" ht="24" customHeight="1">
      <c r="A6" s="1" t="n"/>
      <c r="B6" s="10" t="inlineStr">
        <is>
          <t>1. COMPTEZ L’ARGENT DANS LA CAISSE</t>
        </is>
      </c>
      <c r="C6" s="1" t="n"/>
      <c r="D6" s="1" t="n"/>
      <c r="E6" s="1" t="n"/>
      <c r="F6" s="1" t="n"/>
      <c r="G6" s="10" t="inlineStr">
        <is>
          <t>2. CE QU’IL FAUT FAIRE</t>
        </is>
      </c>
      <c r="H6" s="1" t="n"/>
      <c r="I6" s="1" t="n"/>
      <c r="J6" s="1" t="n"/>
    </row>
    <row r="7" ht="25" customHeight="1">
      <c r="A7" s="1" t="n"/>
      <c r="B7" s="11" t="inlineStr">
        <is>
          <t>Billet / pièce</t>
        </is>
      </c>
      <c r="C7" s="11" t="inlineStr">
        <is>
          <t>Valeur</t>
        </is>
      </c>
      <c r="D7" s="11" t="inlineStr">
        <is>
          <t>Quantité</t>
        </is>
      </c>
      <c r="E7" s="11" t="inlineStr">
        <is>
          <t>Total</t>
        </is>
      </c>
      <c r="F7" s="1" t="n"/>
      <c r="G7" s="12" t="inlineStr">
        <is>
          <t>Total compté</t>
        </is>
      </c>
      <c r="H7" s="6" t="n"/>
      <c r="I7" s="6" t="n"/>
      <c r="J7" s="13">
        <f>IF($H$5="COMPTE TERMINÉ",$E$18,"")</f>
        <v/>
      </c>
    </row>
    <row r="8" ht="25" customHeight="1">
      <c r="A8" s="1" t="n"/>
      <c r="B8" s="14" t="inlineStr">
        <is>
          <t>Billet de 100 $</t>
        </is>
      </c>
      <c r="C8" s="15" t="n">
        <v>100</v>
      </c>
      <c r="D8" s="16" t="n"/>
      <c r="E8" s="17">
        <f>IF(D8="","",C8*D8)</f>
        <v/>
      </c>
      <c r="F8" s="1" t="n"/>
      <c r="G8" s="12" t="inlineStr">
        <is>
          <t>Fond de caisse à laisser</t>
        </is>
      </c>
      <c r="H8" s="6" t="n"/>
      <c r="I8" s="6" t="n"/>
      <c r="J8" s="18" t="n">
        <v>250</v>
      </c>
    </row>
    <row r="9" ht="25" customHeight="1">
      <c r="A9" s="1" t="n"/>
      <c r="B9" s="14" t="inlineStr">
        <is>
          <t>Billet de 50 $</t>
        </is>
      </c>
      <c r="C9" s="15" t="n">
        <v>50</v>
      </c>
      <c r="D9" s="16" t="n"/>
      <c r="E9" s="17">
        <f>IF(D9="","",C9*D9)</f>
        <v/>
      </c>
      <c r="F9" s="1" t="n"/>
      <c r="G9" s="12" t="inlineStr">
        <is>
          <t>À déposer au coffre-fort</t>
        </is>
      </c>
      <c r="H9" s="6" t="n"/>
      <c r="I9" s="6" t="n"/>
      <c r="J9" s="19">
        <f>IF(J7="","",MAX(J7-J8,0))</f>
        <v/>
      </c>
    </row>
    <row r="10" ht="25" customHeight="1">
      <c r="A10" s="1" t="n"/>
      <c r="B10" s="14" t="inlineStr">
        <is>
          <t>Billet de 20 $</t>
        </is>
      </c>
      <c r="C10" s="15" t="n">
        <v>20</v>
      </c>
      <c r="D10" s="16" t="n"/>
      <c r="E10" s="17">
        <f>IF(D10="","",C10*D10)</f>
        <v/>
      </c>
      <c r="F10" s="1" t="n"/>
      <c r="G10" s="12" t="inlineStr">
        <is>
          <t>À prendre du coffre-fort</t>
        </is>
      </c>
      <c r="H10" s="6" t="n"/>
      <c r="I10" s="6" t="n"/>
      <c r="J10" s="20">
        <f>IF(J7="","",MAX(J8-J7,0))</f>
        <v/>
      </c>
    </row>
    <row r="11" ht="25" customHeight="1">
      <c r="A11" s="1" t="n"/>
      <c r="B11" s="14" t="inlineStr">
        <is>
          <t>Billet de 10 $</t>
        </is>
      </c>
      <c r="C11" s="15" t="n">
        <v>10</v>
      </c>
      <c r="D11" s="16" t="n"/>
      <c r="E11" s="17">
        <f>IF(D11="","",C11*D11)</f>
        <v/>
      </c>
      <c r="F11" s="1" t="n"/>
      <c r="G11" s="12" t="inlineStr">
        <is>
          <t>Total final dans la caisse</t>
        </is>
      </c>
      <c r="H11" s="6" t="n"/>
      <c r="I11" s="6" t="n"/>
      <c r="J11" s="21">
        <f>IF(J7="","",J8)</f>
        <v/>
      </c>
    </row>
    <row r="12" ht="20" customHeight="1">
      <c r="A12" s="1" t="n"/>
      <c r="B12" s="14" t="inlineStr">
        <is>
          <t>Billet de 5 $</t>
        </is>
      </c>
      <c r="C12" s="15" t="n">
        <v>5</v>
      </c>
      <c r="D12" s="16" t="n"/>
      <c r="E12" s="17">
        <f>IF(D12="","",C12*D12)</f>
        <v/>
      </c>
      <c r="F12" s="1" t="n"/>
      <c r="G12" s="1" t="n"/>
      <c r="H12" s="1" t="n"/>
      <c r="I12" s="1" t="n"/>
      <c r="J12" s="1" t="n"/>
    </row>
    <row r="13" ht="23" customHeight="1">
      <c r="A13" s="1" t="n"/>
      <c r="B13" s="14" t="inlineStr">
        <is>
          <t>Pièce de 2 $</t>
        </is>
      </c>
      <c r="C13" s="15" t="n">
        <v>2</v>
      </c>
      <c r="D13" s="16" t="n"/>
      <c r="E13" s="17">
        <f>IF(D13="","",C13*D13)</f>
        <v/>
      </c>
      <c r="F13" s="1" t="n"/>
      <c r="G13" s="22" t="inlineStr">
        <is>
          <t>RAPPEL</t>
        </is>
      </c>
      <c r="H13" s="1" t="n"/>
      <c r="I13" s="1" t="n"/>
      <c r="J13" s="1" t="n"/>
    </row>
    <row r="14" ht="31" customHeight="1">
      <c r="A14" s="1" t="n"/>
      <c r="B14" s="14" t="inlineStr">
        <is>
          <t>Pièce de 1 $</t>
        </is>
      </c>
      <c r="C14" s="15" t="n">
        <v>1</v>
      </c>
      <c r="D14" s="16" t="n"/>
      <c r="E14" s="17">
        <f>IF(D14="","",C14*D14)</f>
        <v/>
      </c>
      <c r="F14" s="1" t="n"/>
      <c r="G14" s="23" t="inlineStr">
        <is>
          <t>Déposez au coffre-fort le montant vert. S’il manque de l’argent pour atteindre le fond de caisse, prenez le montant orange du coffre-fort. Gardez un mélange pratique de billets et de pièces pour rendre la monnaie le lendemain.</t>
        </is>
      </c>
      <c r="H14" s="6" t="n"/>
      <c r="I14" s="6" t="n"/>
      <c r="J14" s="9" t="n"/>
    </row>
    <row r="15" ht="31" customHeight="1">
      <c r="A15" s="1" t="n"/>
      <c r="B15" s="14" t="inlineStr">
        <is>
          <t>Pièce de 25 ¢</t>
        </is>
      </c>
      <c r="C15" s="15" t="n">
        <v>0.25</v>
      </c>
      <c r="D15" s="16" t="n"/>
      <c r="E15" s="17">
        <f>IF(D15="","",C15*D15)</f>
        <v/>
      </c>
      <c r="F15" s="1" t="n"/>
      <c r="G15" s="24" t="n"/>
      <c r="H15" s="6" t="n"/>
      <c r="I15" s="6" t="n"/>
      <c r="J15" s="9" t="n"/>
    </row>
    <row r="16" ht="31" customHeight="1">
      <c r="A16" s="1" t="n"/>
      <c r="B16" s="14" t="inlineStr">
        <is>
          <t>Pièce de 10 ¢</t>
        </is>
      </c>
      <c r="C16" s="15" t="n">
        <v>0.1</v>
      </c>
      <c r="D16" s="16" t="n"/>
      <c r="E16" s="17">
        <f>IF(D16="","",C16*D16)</f>
        <v/>
      </c>
      <c r="F16" s="1" t="n"/>
      <c r="G16" s="24" t="n"/>
      <c r="H16" s="6" t="n"/>
      <c r="I16" s="6" t="n"/>
      <c r="J16" s="9" t="n"/>
    </row>
    <row r="17" ht="20" customHeight="1">
      <c r="A17" s="1" t="n"/>
      <c r="B17" s="14" t="inlineStr">
        <is>
          <t>Pièce de 5 ¢</t>
        </is>
      </c>
      <c r="C17" s="15" t="n">
        <v>0.05</v>
      </c>
      <c r="D17" s="16" t="n"/>
      <c r="E17" s="17">
        <f>IF(D17="","",C17*D17)</f>
        <v/>
      </c>
      <c r="F17" s="1" t="n"/>
      <c r="G17" s="1" t="n"/>
      <c r="H17" s="1" t="n"/>
      <c r="I17" s="1" t="n"/>
      <c r="J17" s="1" t="n"/>
    </row>
    <row r="18" ht="23" customHeight="1">
      <c r="A18" s="1" t="n"/>
      <c r="B18" s="25" t="inlineStr">
        <is>
          <t>TOTAL COMPTÉ</t>
        </is>
      </c>
      <c r="C18" s="26" t="n"/>
      <c r="D18" s="26" t="n"/>
      <c r="E18" s="27">
        <f>SUM(E8:E17)</f>
        <v/>
      </c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32" customHeight="1">
      <c r="A20" s="1" t="n"/>
      <c r="B20" s="28" t="inlineStr">
        <is>
          <t>Mélange suggéré pour un fond de 250,00 $ CA : 20 $×5, 10 $×6, 5 $×8, 2 $×10, 1 $×15, 25 ¢×40, 10 ¢×30 et 5 ¢×40. Vous pouvez modifier le fond de caisse jaune si votre entreprise utilise un autre montant.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n"/>
      <c r="B23" s="29" t="inlineStr">
        <is>
          <t>Jaune = vous entrez une valeur  |  Vert = à déposer au coffre-fort  |  Orange = à prendre du coffre-fort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</row>
  </sheetData>
  <mergeCells count="15">
    <mergeCell ref="G6:J6"/>
    <mergeCell ref="G13:J13"/>
    <mergeCell ref="B3:J3"/>
    <mergeCell ref="G10:I10"/>
    <mergeCell ref="B20:J21"/>
    <mergeCell ref="H5:J5"/>
    <mergeCell ref="B6:E6"/>
    <mergeCell ref="G8:I8"/>
    <mergeCell ref="G9:I9"/>
    <mergeCell ref="B23:J23"/>
    <mergeCell ref="G14:J16"/>
    <mergeCell ref="G7:I7"/>
    <mergeCell ref="F5"/>
    <mergeCell ref="B2:J2"/>
    <mergeCell ref="G11:I11"/>
  </mergeCells>
  <conditionalFormatting sqref="H5">
    <cfRule type="expression" priority="1" dxfId="0">
      <formula>$H$5="COMPTE TERMINÉ"</formula>
    </cfRule>
    <cfRule type="expression" priority="2" dxfId="1">
      <formula>$H$5="REMPLIR TOUTES LES QUANTITÉS"</formula>
    </cfRule>
  </conditionalFormatting>
  <dataValidations count="3">
    <dataValidation sqref="D8:D17" showDropDown="0" showInputMessage="0" showErrorMessage="0" allowBlank="1" errorTitle="Nombres entiers seulement" error="Entrez un nombre entier de 0 à 9 999. Indiquez 0 lorsqu’il n’y en a pas." promptTitle="Quantité comptée" prompt="Entrez la quantité de ce billet ou de cette pièce. Indiquez 0 lorsqu’il n’y en a pas." type="whole" operator="between">
      <formula1>0</formula1>
      <formula2>9999</formula2>
    </dataValidation>
    <dataValidation sqref="J8" showDropDown="0" showInputMessage="0" showErrorMessage="0" allowBlank="0" errorTitle="Montant valide requis" error="Entrez un montant positif valide." type="decimal" operator="between">
      <formula1>0</formula1>
      <formula2>100000</formula2>
    </dataValidation>
    <dataValidation sqref="C5" showDropDown="0" showInputMessage="0" showErrorMessage="0" allowBlank="1" errorTitle="Date valide requise" error="Entrez une date valide." type="date" operator="between">
      <formula1>DATE(2020,1,1)</formula1>
      <formula2>DATE(2100,12,31)</formula2>
    </dataValidation>
  </dataValidations>
  <pageMargins left="0.3" right="0.3" top="0.45" bottom="0.45" header="0.5" footer="0.5"/>
  <pageSetup orientation="landscape" paperSize="1" fitToHeight="1" fitToWidth="1"/>
  <headerFooter>
    <oddHeader/>
    <oddFooter>&amp;CPage &amp;P de &amp;N&amp;RFermeture de caisse — version simple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Fermeture de caisse — version simple (Canada)</dc:title>
  <dc:description xmlns:dc="http://purl.org/dc/elements/1.1/">Classeur entièrement modifiable, en dollars canadiens, sans pièce de 1 cent.</dc:description>
  <dc:subject xmlns:dc="http://purl.org/dc/elements/1.1/">Feuille simple en français canadien pour compter la caisse et calculer le dépôt au coffre-fort</dc:subject>
  <dcterms:created xmlns:dcterms="http://purl.org/dc/terms/" xmlns:xsi="http://www.w3.org/2001/XMLSchema-instance" xsi:type="dcterms:W3CDTF">2026-10-23T00:16:14Z</dcterms:created>
  <dcterms:modified xmlns:dcterms="http://purl.org/dc/terms/" xmlns:xsi="http://www.w3.org/2001/XMLSchema-instance" xsi:type="dcterms:W3CDTF">2026-10-23T00:16:14Z</dcterms:modified>
</cp:coreProperties>
</file>